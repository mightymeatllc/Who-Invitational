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 &amp; Hdcp" sheetId="1" state="visible" r:id="rId3"/>
    <sheet name="Teams" sheetId="2" state="visible" r:id="rId4"/>
    <sheet name="Scramble" sheetId="3" state="visible" r:id="rId5"/>
    <sheet name="Duels" sheetId="4" state="visible" r:id="rId6"/>
    <sheet name="Cart Pairings" sheetId="5" state="visible" r:id="rId7"/>
    <sheet name="Format &amp; Money" sheetId="6" state="visible" r:id="rId8"/>
    <sheet name="Team Scoring" sheetId="7" state="visible" r:id="rId9"/>
  </sheets>
  <definedNames>
    <definedName function="false" hidden="false" name="PlayerList" vbProcedure="false">'Players &amp; Hdcp'!$A$5:$A$20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<sst xmlns="http://schemas.openxmlformats.org/spreadsheetml/2006/main" count="312" uniqueCount="185">
  <si>
    <t xml:space="preserve">The Who? Invitational Open — Player List</t>
  </si>
  <si>
    <t xml:space="preserve">Single source of truth. Edit an index here and it follows that player everywhere. Team, Cart, Duel and Format columns are read-only — they update themselves.</t>
  </si>
  <si>
    <t xml:space="preserve">Golfer</t>
  </si>
  <si>
    <t xml:space="preserve">Index</t>
  </si>
  <si>
    <t xml:space="preserve">Source</t>
  </si>
  <si>
    <t xml:space="preserve">Playing Hdcp (90%)</t>
  </si>
  <si>
    <t xml:space="preserve">Plays As</t>
  </si>
  <si>
    <t xml:space="preserve">Team</t>
  </si>
  <si>
    <t xml:space="preserve">Cart #</t>
  </si>
  <si>
    <t xml:space="preserve">Duel #</t>
  </si>
  <si>
    <t xml:space="preserve">Status</t>
  </si>
  <si>
    <t xml:space="preserve">Settings</t>
  </si>
  <si>
    <t xml:space="preserve">Jipp</t>
  </si>
  <si>
    <t xml:space="preserve">Established index</t>
  </si>
  <si>
    <t xml:space="preserve">Max index (cap)</t>
  </si>
  <si>
    <t xml:space="preserve">Joe</t>
  </si>
  <si>
    <t xml:space="preserve">Handicap allowance</t>
  </si>
  <si>
    <t xml:space="preserve">Tito</t>
  </si>
  <si>
    <t xml:space="preserve">Scramble allowance — low</t>
  </si>
  <si>
    <t xml:space="preserve">Adam</t>
  </si>
  <si>
    <t xml:space="preserve">Scramble allowance — high</t>
  </si>
  <si>
    <t xml:space="preserve">Ron</t>
  </si>
  <si>
    <t xml:space="preserve">Course rating — Blue</t>
  </si>
  <si>
    <t xml:space="preserve">Meat</t>
  </si>
  <si>
    <t xml:space="preserve">Course rating — White</t>
  </si>
  <si>
    <t xml:space="preserve">Neels</t>
  </si>
  <si>
    <t xml:space="preserve">White-tee adjustment</t>
  </si>
  <si>
    <t xml:space="preserve">Pat</t>
  </si>
  <si>
    <t xml:space="preserve">Scramble pair hdcp (committee)</t>
  </si>
  <si>
    <t xml:space="preserve">Dan</t>
  </si>
  <si>
    <t xml:space="preserve">• Status turns red if a player is on two teams, two carts, or left out entirely.</t>
  </si>
  <si>
    <t xml:space="preserve">Latex</t>
  </si>
  <si>
    <t xml:space="preserve">• Estimating an unrated player: honest 18-hole score, minus 72, minus 3–4 more. Cap applies.</t>
  </si>
  <si>
    <t xml:space="preserve">Toe</t>
  </si>
  <si>
    <t xml:space="preserve">String</t>
  </si>
  <si>
    <t xml:space="preserve">ESTIMATE — committee</t>
  </si>
  <si>
    <t xml:space="preserve">Out / alternates</t>
  </si>
  <si>
    <t xml:space="preserve">Hulk</t>
  </si>
  <si>
    <t xml:space="preserve">• Milo — 25.0 est., OUT pending knee. Adam is the replacement at 11.5.</t>
  </si>
  <si>
    <t xml:space="preserve">Rat</t>
  </si>
  <si>
    <t xml:space="preserve">• Adam and Milo are mutually exclusive. The field is 16 either way.</t>
  </si>
  <si>
    <t xml:space="preserve">Landon</t>
  </si>
  <si>
    <t xml:space="preserve">Terb</t>
  </si>
  <si>
    <t xml:space="preserve">Teams — Ryobi vs Black &amp; Decker</t>
  </si>
  <si>
    <t xml:space="preserve">Two 8-man teams. Six men play individual net stroke play; two play as a 2-man scramble pair. Change a name in the shaded column and its handicap follows. Watch the spread box on the right.</t>
  </si>
  <si>
    <t xml:space="preserve">Playing Hdcp</t>
  </si>
  <si>
    <t xml:space="preserve">Players</t>
  </si>
  <si>
    <t xml:space="preserve">Individual Net Scores</t>
  </si>
  <si>
    <t xml:space="preserve">Individual Strokes</t>
  </si>
  <si>
    <t xml:space="preserve">Scramble Pair Strokes</t>
  </si>
  <si>
    <t xml:space="preserve">Total Strokes Given</t>
  </si>
  <si>
    <t xml:space="preserve">key (auto)</t>
  </si>
  <si>
    <t xml:space="preserve">Ryobi</t>
  </si>
  <si>
    <t xml:space="preserve">Black &amp; Decker</t>
  </si>
  <si>
    <t xml:space="preserve">Spread (Ryobi − B&amp;D)</t>
  </si>
  <si>
    <t xml:space="preserve">Inside ±2 strokes is a fair fight.</t>
  </si>
  <si>
    <t xml:space="preserve">Scramble Pairs</t>
  </si>
  <si>
    <t xml:space="preserve">Two 2-man scramble pairs, one per team. They play one ball; that ball is a single scoring unit for their team and it is also its own head-to-head match against the other pair.</t>
  </si>
  <si>
    <t xml:space="preserve">Pair #</t>
  </si>
  <si>
    <t xml:space="preserve">Pair Name</t>
  </si>
  <si>
    <t xml:space="preserve">Player 1</t>
  </si>
  <si>
    <t xml:space="preserve">Player 2</t>
  </si>
  <si>
    <t xml:space="preserve">Hdcps</t>
  </si>
  <si>
    <t xml:space="preserve">Pair Playing Hdcp</t>
  </si>
  <si>
    <t xml:space="preserve">Notes</t>
  </si>
  <si>
    <t xml:space="preserve">Tee</t>
  </si>
  <si>
    <t xml:space="preserve">Formula would say</t>
  </si>
  <si>
    <t xml:space="preserve">Ryobi Scramble</t>
  </si>
  <si>
    <t xml:space="preserve">Committee number. Formula-derived figure shown at right for reference.</t>
  </si>
  <si>
    <t xml:space="preserve">White</t>
  </si>
  <si>
    <t xml:space="preserve">B&amp;D Scramble</t>
  </si>
  <si>
    <t xml:space="preserve">Why the pair does not get 23 strokes</t>
  </si>
  <si>
    <t xml:space="preserve">• Two 23-handicaps scrambling typically shoot 8–10 shots better than either man alone.</t>
  </si>
  <si>
    <t xml:space="preserve">• Giving the pair a full 23 would hand its team roughly ten free strokes.</t>
  </si>
  <si>
    <t xml:space="preserve">• The 35/15 allowance is the accepted formula and lands the pair around a 12 — competitive, not cartoonish.</t>
  </si>
  <si>
    <t xml:space="preserve">• Both allowance figures live on the Players &amp; Hdcp tab (yellow cells) if you want to loosen them.</t>
  </si>
  <si>
    <t xml:space="preserve">Why the number is pinned</t>
  </si>
  <si>
    <t xml:space="preserve">• Two 23s give 0.35 x 23 + 0.15 x 23 = exactly 11.5 — dead on a rounding boundary.</t>
  </si>
  <si>
    <t xml:space="preserve">• Excel rounds that to 12. LibreOffice's floating point lands on 11. Same file, two different answers.</t>
  </si>
  <si>
    <t xml:space="preserve">• The formula now nudges by a millionth of a stroke so every program returns 12. Hardcode 12 in the scoreboard.</t>
  </si>
  <si>
    <t xml:space="preserve">The pair handicap is a committee number</t>
  </si>
  <si>
    <t xml:space="preserve">• Set to 12 by the committee. Change it in one yellow cell on the Players &amp; Hdcp tab and every tab follows.</t>
  </si>
  <si>
    <t xml:space="preserve">• For reference, the formula route: 35% of low + 15% of high = 12, less 3 for the White tees = 9.</t>
  </si>
  <si>
    <t xml:space="preserve">• The committee overruled that. These four are that bad, and a fat number makes the pair match spicier.</t>
  </si>
  <si>
    <t xml:space="preserve">• The pairs play White (rated 68.4) while the field plays Blue (71.1). Verify both on the pro shop scorecard.</t>
  </si>
  <si>
    <t xml:space="preserve">• Both pairs carry the same number, so duel 7 is dead even regardless. Hardcode 12 in the scoreboard.</t>
  </si>
  <si>
    <t xml:space="preserve">The Duel Card — head-to-head, all day</t>
  </si>
  <si>
    <t xml:space="preserve">Every man has one opponent on the other team. Low net over 18 wins. Strokes are the difference in playing handicaps, taken on the lowest-index holes. Side money is between the two of you — the committee holds none of it. Carts no longer follow the duels, so watch the Same Group column: SPLIT means those two men never see each other swing a club.</t>
  </si>
  <si>
    <t xml:space="preserve">Team Ryobi</t>
  </si>
  <si>
    <t xml:space="preserve">Hdcp</t>
  </si>
  <si>
    <t xml:space="preserve">vs</t>
  </si>
  <si>
    <t xml:space="preserve">Strokes</t>
  </si>
  <si>
    <t xml:space="preserve">Given To</t>
  </si>
  <si>
    <t xml:space="preserve">Format</t>
  </si>
  <si>
    <t xml:space="preserve">Side Wager</t>
  </si>
  <si>
    <t xml:space="preserve">Winner</t>
  </si>
  <si>
    <t xml:space="preserve">Ryobi Grp</t>
  </si>
  <si>
    <t xml:space="preserve">B&amp;D Grp</t>
  </si>
  <si>
    <t xml:space="preserve">Same Group?</t>
  </si>
  <si>
    <t xml:space="preserve">Singles</t>
  </si>
  <si>
    <t xml:space="preserve">2-man scramble</t>
  </si>
  <si>
    <t xml:space="preserve">How a duel works</t>
  </si>
  <si>
    <t xml:space="preserve">• Both men play their own ball and post their own card — the duel costs you nothing extra to track.</t>
  </si>
  <si>
    <t xml:space="preserve">• Strokes: the higher handicap receives the full difference, one shot on each of the hardest holes.</t>
  </si>
  <si>
    <t xml:space="preserve">• Low net over 18 wins. Ties are ties unless the two of you agree to a playoff hole at the pool.</t>
  </si>
  <si>
    <t xml:space="preserve">• Wager whatever you like — $20, dinner, the whole pot. Write it in the Side Wager column so there is a record.</t>
  </si>
  <si>
    <t xml:space="preserve">• The duel result does not change the team result. It is purely for money and mouth.</t>
  </si>
  <si>
    <t xml:space="preserve">• A SPLIT duel still counts. It is just settled by comparing cards in the parking lot instead of by watching.</t>
  </si>
  <si>
    <t xml:space="preserve">• Columns L–N (tee-group check) are hidden on purpose. Committee eyes only — do not reopen the cart debate.</t>
  </si>
  <si>
    <t xml:space="preserve">Cart Pairings — 8 Carts</t>
  </si>
  <si>
    <t xml:space="preserve">Riders are set by who can and cannot stand each other for five hours. The duel table is independent — moving a rider does not move his match. Duel A and Duel B show which match each seat is playing.</t>
  </si>
  <si>
    <t xml:space="preserve">Rider A</t>
  </si>
  <si>
    <t xml:space="preserve">Rider B</t>
  </si>
  <si>
    <t xml:space="preserve">Hdcp A</t>
  </si>
  <si>
    <t xml:space="preserve">Hdcp B</t>
  </si>
  <si>
    <t xml:space="preserve">Team A</t>
  </si>
  <si>
    <t xml:space="preserve">Team B</t>
  </si>
  <si>
    <t xml:space="preserve">Duel A</t>
  </si>
  <si>
    <t xml:space="preserve">Duel B</t>
  </si>
  <si>
    <t xml:space="preserve">Tee Group</t>
  </si>
  <si>
    <t xml:space="preserve">A</t>
  </si>
  <si>
    <t xml:space="preserve">B</t>
  </si>
  <si>
    <t xml:space="preserve">C</t>
  </si>
  <si>
    <t xml:space="preserve">D</t>
  </si>
  <si>
    <t xml:space="preserve">Tee groups — 10 minutes apart</t>
  </si>
  <si>
    <t xml:space="preserve">• Group A — carts 1 and 2: Jipp/Adam, Joe/Tito. Duels 1 and 2, both intact. Fastest players out first.</t>
  </si>
  <si>
    <t xml:space="preserve">• Group B — carts 3 and 4: Dan/Meat, Toe/Neels. Duel 3 intact; duels 5 and 6 split with Group C.</t>
  </si>
  <si>
    <t xml:space="preserve">• Group C — carts 5 and 6: Latex/Ron, Landon/Pat. Duel 4 intact; duels 5 and 6 split with Group B.</t>
  </si>
  <si>
    <t xml:space="preserve">• Group D — carts 7 and 8: String/Terb, Rat/Hulk. The scramble match, together by necessity.</t>
  </si>
  <si>
    <t xml:space="preserve">• Swapping Dan and Landon between carts 3 and 6 makes all seven duels intact — see the review notes.</t>
  </si>
  <si>
    <t xml:space="preserve">Pace of play — read this on the first tee</t>
  </si>
  <si>
    <t xml:space="preserve">• Ready golf all day. Hit when you're ready, not when it's your turn.</t>
  </si>
  <si>
    <t xml:space="preserve">• Two-minute search, then drop. No second provisional.</t>
  </si>
  <si>
    <t xml:space="preserve">• Max score is triple bogey — pick up, it's expected.</t>
  </si>
  <si>
    <t xml:space="preserve">• One pace captain per group. He gets to be annoying about it.</t>
  </si>
  <si>
    <t xml:space="preserve">• Cart-path-only: take three clubs, get dropped at your ball.</t>
  </si>
  <si>
    <t xml:space="preserve">• Scramble pairs: both hit, take the best, both play from there. It is faster than singles, not slower.</t>
  </si>
  <si>
    <t xml:space="preserve">Format &amp; Money — DRAFT v2</t>
  </si>
  <si>
    <t xml:space="preserve">Everything below is a proposal, not a ruling. Numbers in yellow are the levers.</t>
  </si>
  <si>
    <t xml:space="preserve">The game</t>
  </si>
  <si>
    <t xml:space="preserve">Two teams of eight — Team Ryobi and Team Black &amp; Decker. One round, individual net stroke play.</t>
  </si>
  <si>
    <t xml:space="preserve">Six men per team play their own ball. Two men per team play as a 2-man scramble pair.</t>
  </si>
  <si>
    <t xml:space="preserve">That gives each team seven scoring units: six individual net scores plus one scramble net score.</t>
  </si>
  <si>
    <t xml:space="preserve">Team score = the best SIX of those seven. The worst unit is dropped and counts for nothing.</t>
  </si>
  <si>
    <t xml:space="preserve">The dropped man is named on the scoreboard. That is the point. Do not be that man.</t>
  </si>
  <si>
    <t xml:space="preserve">The scramble pair can be the dropped unit. Two men, one ball, still worthless — a real possibility.</t>
  </si>
  <si>
    <t xml:space="preserve">Max score on any hole is triple bogey. 90% playing handicaps. Everyone plays Blue except the two scramble pairs, who play White and give back 3 strokes for it.</t>
  </si>
  <si>
    <t xml:space="preserve">Why two teams and not four</t>
  </si>
  <si>
    <t xml:space="preserve">Four teams needs four scramble pairs — eight men in the scramble. You only have four volunteers.</t>
  </si>
  <si>
    <t xml:space="preserve">With two pairs and four teams, half the field would be playing a materially different game than the other half.</t>
  </si>
  <si>
    <t xml:space="preserve">Two teams of eight absorbs the pairs cleanly: one pair per side, same number of scoring units each.</t>
  </si>
  <si>
    <t xml:space="preserve">It also makes the rivalry simple enough to yell about across a cart path. One team has a sponsor.</t>
  </si>
  <si>
    <t xml:space="preserve">The team bet</t>
  </si>
  <si>
    <t xml:space="preserve">$50 per man. 16 men = $800. Winner take all.</t>
  </si>
  <si>
    <t xml:space="preserve">The winning eight split the pot: $100 back, $50 profit each. The losing eight are out $50.</t>
  </si>
  <si>
    <t xml:space="preserve">No second place, no low-net carve-out, no consolation. One pot, one winner, eight losers.</t>
  </si>
  <si>
    <t xml:space="preserve">The duels — where the bragging rights live</t>
  </si>
  <si>
    <t xml:space="preserve">Every man is matched against one opponent on the other team, closest handicap to closest handicap.</t>
  </si>
  <si>
    <t xml:space="preserve">Strokes are the full difference between playing handicaps, taken on the lowest-index holes.</t>
  </si>
  <si>
    <t xml:space="preserve">Low net over 18 wins the duel. The two scramble pairs duel each other as a unit.</t>
  </si>
  <si>
    <t xml:space="preserve">You ride together, so there is nowhere to hide.</t>
  </si>
  <si>
    <t xml:space="preserve">Wager whatever the two of you agree to. The committee holds none of it and settles none of it.</t>
  </si>
  <si>
    <t xml:space="preserve">Six of the seven duels are within 5 strokes; four of them are dead even at scratch. See the Duels tab.</t>
  </si>
  <si>
    <t xml:space="preserve">Roster — Milo and Adam</t>
  </si>
  <si>
    <t xml:space="preserve">Adam and Milo are mutually exclusive. If Adam plays, Milo does not. The field is 16 either way.</t>
  </si>
  <si>
    <t xml:space="preserve">If Milo takes Adam's seat, swap the name in one cell on the Teams tab and set his index.</t>
  </si>
  <si>
    <t xml:space="preserve">Milo at a 25 estimate in Adam's 10-stroke seat unbalances Ryobi by 13 strokes — rebalance before publishing.</t>
  </si>
  <si>
    <t xml:space="preserve">Still open</t>
  </si>
  <si>
    <t xml:space="preserve">1. Team names — LOCKED. Team Ryobi vs Team Black &amp; Decker.</t>
  </si>
  <si>
    <t xml:space="preserve">2. Cart pairings — being reworked by hand for who can and cannot ride together.</t>
  </si>
  <si>
    <t xml:space="preserve">3. Duel matchups are keyed to handicap, not to carts. If a cart moves, the duel does not follow it.</t>
  </si>
  <si>
    <t xml:space="preserve">Team Scoring — best 6 of 7</t>
  </si>
  <si>
    <t xml:space="preserve">Backup card for the day. Enter each unit's gross score in the yellow column; net and the drop are calculated. The worst unit on each team is dropped and named. Triple bogey max per hole.</t>
  </si>
  <si>
    <t xml:space="preserve">Scoring Unit</t>
  </si>
  <si>
    <t xml:space="preserve">Gross</t>
  </si>
  <si>
    <t xml:space="preserve">Net</t>
  </si>
  <si>
    <t xml:space="preserve">Counts?</t>
  </si>
  <si>
    <t xml:space="preserve">Result</t>
  </si>
  <si>
    <t xml:space="preserve">Ryobi — best 6 of 7</t>
  </si>
  <si>
    <t xml:space="preserve">Black &amp; Decker — best 6 of 7</t>
  </si>
  <si>
    <t xml:space="preserve">Margin</t>
  </si>
  <si>
    <t xml:space="preserve">Ryobi dropped</t>
  </si>
  <si>
    <t xml:space="preserve">B&amp;D dropped</t>
  </si>
  <si>
    <t xml:space="preserve">The pot: $50 a man, $800, winner take all. Eight men get $100 back. Eight men get a story.</t>
  </si>
  <si>
    <t xml:space="preserve">Unit names read straight off the Teams tab. Move a man between teams and this card follows him — it no longer keeps its own copy of the roster to get out of date.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</si>
</sst>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7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404040"/>
      <name val="Arial"/>
      <family val="0"/>
      <charset val="1"/>
    </font>
    <font>
      <sz val="1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3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7"/>
        <bgColor rgb="FF404040"/>
      </patternFill>
    </fill>
    <fill>
      <patternFill patternType="solid">
        <fgColor rgb="FFFFF2CC"/>
        <bgColor rgb="FFFFFFFF"/>
      </patternFill>
    </fill>
    <fill>
      <patternFill patternType="solid">
        <fgColor rgb="FFE4EE9E"/>
        <bgColor rgb="FFFFF2CC"/>
      </patternFill>
    </fill>
    <fill>
      <patternFill patternType="solid">
        <fgColor rgb="FFFBD5A5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E4EE9E"/>
      <rgbColor rgb="FF99CCFF"/>
      <rgbColor rgb="FFFF99CC"/>
      <rgbColor rgb="FFCC99FF"/>
      <rgbColor rgb="FFFBD5A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F4E3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8" min="7" style="1" width="8"/>
    <col collapsed="false" customWidth="true" hidden="false" outlineLevel="0" max="9" min="9" style="1" width="22"/>
    <col collapsed="false" customWidth="true" hidden="false" outlineLevel="0" max="10" min="10" style="1" width="3"/>
    <col collapsed="false" customWidth="true" hidden="false" outlineLevel="0" max="11" min="11" style="1" width="44"/>
    <col collapsed="false" customWidth="true" hidden="false" outlineLevel="0" max="12" min="12" style="1" width="8"/>
    <col collapsed="false" customWidth="true" hidden="false" outlineLevel="0" max="26" min="13" style="1" width="8.71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K4" s="5" t="s">
        <v>11</v>
      </c>
      <c r="L4" s="6"/>
    </row>
    <row r="5" customFormat="false" ht="15" hidden="false" customHeight="true" outlineLevel="0" collapsed="false">
      <c r="A5" s="7" t="s">
        <v>12</v>
      </c>
      <c r="B5" s="8" t="n">
        <v>3.2</v>
      </c>
      <c r="C5" s="9" t="s">
        <v>13</v>
      </c>
      <c r="D5" s="10" t="n">
        <f aca="false">ROUND(MIN(B5,$L$5)*$L$6,0)</f>
        <v>3</v>
      </c>
      <c r="E5" s="10" t="str">
        <f aca="false">IF(COUNTIF(Scramble!$C$5:$D$6,A5)&gt;0,"Scramble","Individual")</f>
        <v>Individual</v>
      </c>
      <c r="F5" s="10" t="str">
        <f aca="false" t="array" ref="F5:F5">IFERROR(INDEX(Teams!$A$5:$A$20,MATCH(A5,Teams!$B$5:$B$20,0)),"— none —")</f>
        <v>Ryobi</v>
      </c>
      <c r="G5" s="10" t="n">
        <f aca="false" t="array" ref="G5:G5">IFERROR(INDEX('Cart Pairings'!$A$5:$A$12,MATCH(A5,'Cart Pairings'!$B$5:$B$12,0)),IFERROR(INDEX('Cart Pairings'!$A$5:$A$12,MATCH(A5,'Cart Pairings'!$C$5:$C$12,0)),"— none —"))</f>
        <v>1</v>
      </c>
      <c r="H5" s="10" t="n">
        <f aca="false" t="array" ref="H5:H5">IFERROR(INDEX(Duels!$A$5:$A$11,MATCH(A5,Duels!$B$5:$B$11,0)),IFERROR(INDEX(Duels!$A$5:$A$11,MATCH(A5,Duels!$E$5:$E$11,0)),IFERROR(INDEX(Duels!$A$5:$A$11,MATCH(INDEX(Scramble!$B$5:$B$6,IFERROR(MATCH(A5,Scramble!$C$5:$C$6,0),IFERROR(MATCH(A5,Scramble!$D$5:$D$6,0),1))),Duels!$B$5:$B$11,0)),IFERROR(INDEX(Duels!$A$5:$A$11,MATCH(INDEX(Scramble!$B$5:$B$6,IFERROR(MATCH(A5,Scramble!$C$5:$C$6,0),IFERROR(MATCH(A5,Scramble!$D$5:$D$6,0),1))),Duels!$E$5:$E$11,0)),"— none —"))))</f>
        <v>1</v>
      </c>
      <c r="I5" s="11" t="str">
        <f aca="false">IF(AND(COUNTIF(Teams!$B$5:$B$20,A5)=1,COUNTIF('Cart Pairings'!$B$5:$C$12,A5)=1),"OK","CHECK — "&amp;COUNTIF(Teams!$B$5:$B$20,A5)&amp;"x team, "&amp;COUNTIF('Cart Pairings'!$B$5:$C$12,A5)&amp;"x cart")</f>
        <v>OK</v>
      </c>
      <c r="K5" s="12" t="s">
        <v>14</v>
      </c>
      <c r="L5" s="13" t="n">
        <v>25</v>
      </c>
    </row>
    <row r="6" customFormat="false" ht="15" hidden="false" customHeight="true" outlineLevel="0" collapsed="false">
      <c r="A6" s="7" t="s">
        <v>15</v>
      </c>
      <c r="B6" s="8" t="n">
        <v>7.5</v>
      </c>
      <c r="C6" s="9" t="s">
        <v>13</v>
      </c>
      <c r="D6" s="10" t="n">
        <f aca="false">ROUND(MIN(B6,$L$5)*$L$6,0)</f>
        <v>7</v>
      </c>
      <c r="E6" s="10" t="str">
        <f aca="false">IF(COUNTIF(Scramble!$C$5:$D$6,A6)&gt;0,"Scramble","Individual")</f>
        <v>Individual</v>
      </c>
      <c r="F6" s="10" t="str">
        <f aca="false" t="array" ref="F6:F6">IFERROR(INDEX(Teams!$A$5:$A$20,MATCH(A6,Teams!$B$5:$B$20,0)),"— none —")</f>
        <v>Black &amp; Decker</v>
      </c>
      <c r="G6" s="10" t="n">
        <f aca="false" t="array" ref="G6:G6">IFERROR(INDEX('Cart Pairings'!$A$5:$A$12,MATCH(A6,'Cart Pairings'!$B$5:$B$12,0)),IFERROR(INDEX('Cart Pairings'!$A$5:$A$12,MATCH(A6,'Cart Pairings'!$C$5:$C$12,0)),"— none —"))</f>
        <v>2</v>
      </c>
      <c r="H6" s="10" t="n">
        <f aca="false" t="array" ref="H6:H6">IFERROR(INDEX(Duels!$A$5:$A$11,MATCH(A6,Duels!$B$5:$B$11,0)),IFERROR(INDEX(Duels!$A$5:$A$11,MATCH(A6,Duels!$E$5:$E$11,0)),IFERROR(INDEX(Duels!$A$5:$A$11,MATCH(INDEX(Scramble!$B$5:$B$6,IFERROR(MATCH(A6,Scramble!$C$5:$C$6,0),IFERROR(MATCH(A6,Scramble!$D$5:$D$6,0),1))),Duels!$B$5:$B$11,0)),IFERROR(INDEX(Duels!$A$5:$A$11,MATCH(INDEX(Scramble!$B$5:$B$6,IFERROR(MATCH(A6,Scramble!$C$5:$C$6,0),IFERROR(MATCH(A6,Scramble!$D$5:$D$6,0),1))),Duels!$E$5:$E$11,0)),"— none —"))))</f>
        <v>1</v>
      </c>
      <c r="I6" s="11" t="str">
        <f aca="false">IF(AND(COUNTIF(Teams!$B$5:$B$20,A6)=1,COUNTIF('Cart Pairings'!$B$5:$C$12,A6)=1),"OK","CHECK — "&amp;COUNTIF(Teams!$B$5:$B$20,A6)&amp;"x team, "&amp;COUNTIF('Cart Pairings'!$B$5:$C$12,A6)&amp;"x cart")</f>
        <v>OK</v>
      </c>
      <c r="K6" s="12" t="s">
        <v>16</v>
      </c>
      <c r="L6" s="13" t="n">
        <v>0.9</v>
      </c>
    </row>
    <row r="7" customFormat="false" ht="15" hidden="false" customHeight="true" outlineLevel="0" collapsed="false">
      <c r="A7" s="7" t="s">
        <v>17</v>
      </c>
      <c r="B7" s="8" t="n">
        <v>10.6</v>
      </c>
      <c r="C7" s="9" t="s">
        <v>13</v>
      </c>
      <c r="D7" s="10" t="n">
        <f aca="false">ROUND(MIN(B7,$L$5)*$L$6,0)</f>
        <v>10</v>
      </c>
      <c r="E7" s="10" t="str">
        <f aca="false">IF(COUNTIF(Scramble!$C$5:$D$6,A7)&gt;0,"Scramble","Individual")</f>
        <v>Individual</v>
      </c>
      <c r="F7" s="10" t="str">
        <f aca="false" t="array" ref="F7:F7">IFERROR(INDEX(Teams!$A$5:$A$20,MATCH(A7,Teams!$B$5:$B$20,0)),"— none —")</f>
        <v>Black &amp; Decker</v>
      </c>
      <c r="G7" s="10" t="n">
        <f aca="false" t="array" ref="G7:G7">IFERROR(INDEX('Cart Pairings'!$A$5:$A$12,MATCH(A7,'Cart Pairings'!$B$5:$B$12,0)),IFERROR(INDEX('Cart Pairings'!$A$5:$A$12,MATCH(A7,'Cart Pairings'!$C$5:$C$12,0)),"— none —"))</f>
        <v>2</v>
      </c>
      <c r="H7" s="10" t="n">
        <f aca="false" t="array" ref="H7:H7">IFERROR(INDEX(Duels!$A$5:$A$11,MATCH(A7,Duels!$B$5:$B$11,0)),IFERROR(INDEX(Duels!$A$5:$A$11,MATCH(A7,Duels!$E$5:$E$11,0)),IFERROR(INDEX(Duels!$A$5:$A$11,MATCH(INDEX(Scramble!$B$5:$B$6,IFERROR(MATCH(A7,Scramble!$C$5:$C$6,0),IFERROR(MATCH(A7,Scramble!$D$5:$D$6,0),1))),Duels!$B$5:$B$11,0)),IFERROR(INDEX(Duels!$A$5:$A$11,MATCH(INDEX(Scramble!$B$5:$B$6,IFERROR(MATCH(A7,Scramble!$C$5:$C$6,0),IFERROR(MATCH(A7,Scramble!$D$5:$D$6,0),1))),Duels!$E$5:$E$11,0)),"— none —"))))</f>
        <v>2</v>
      </c>
      <c r="I7" s="11" t="str">
        <f aca="false">IF(AND(COUNTIF(Teams!$B$5:$B$20,A7)=1,COUNTIF('Cart Pairings'!$B$5:$C$12,A7)=1),"OK","CHECK — "&amp;COUNTIF(Teams!$B$5:$B$20,A7)&amp;"x team, "&amp;COUNTIF('Cart Pairings'!$B$5:$C$12,A7)&amp;"x cart")</f>
        <v>OK</v>
      </c>
      <c r="K7" s="12" t="s">
        <v>18</v>
      </c>
      <c r="L7" s="13" t="n">
        <v>0.35</v>
      </c>
    </row>
    <row r="8" customFormat="false" ht="15" hidden="false" customHeight="true" outlineLevel="0" collapsed="false">
      <c r="A8" s="7" t="s">
        <v>19</v>
      </c>
      <c r="B8" s="8" t="n">
        <v>11.5</v>
      </c>
      <c r="C8" s="9" t="s">
        <v>13</v>
      </c>
      <c r="D8" s="10" t="n">
        <f aca="false">ROUND(MIN(B8,$L$5)*$L$6,0)</f>
        <v>10</v>
      </c>
      <c r="E8" s="10" t="str">
        <f aca="false">IF(COUNTIF(Scramble!$C$5:$D$6,A8)&gt;0,"Scramble","Individual")</f>
        <v>Individual</v>
      </c>
      <c r="F8" s="10" t="str">
        <f aca="false" t="array" ref="F8:F8">IFERROR(INDEX(Teams!$A$5:$A$20,MATCH(A8,Teams!$B$5:$B$20,0)),"— none —")</f>
        <v>Ryobi</v>
      </c>
      <c r="G8" s="10" t="n">
        <f aca="false" t="array" ref="G8:G8">IFERROR(INDEX('Cart Pairings'!$A$5:$A$12,MATCH(A8,'Cart Pairings'!$B$5:$B$12,0)),IFERROR(INDEX('Cart Pairings'!$A$5:$A$12,MATCH(A8,'Cart Pairings'!$C$5:$C$12,0)),"— none —"))</f>
        <v>1</v>
      </c>
      <c r="H8" s="10" t="n">
        <f aca="false" t="array" ref="H8:H8">IFERROR(INDEX(Duels!$A$5:$A$11,MATCH(A8,Duels!$B$5:$B$11,0)),IFERROR(INDEX(Duels!$A$5:$A$11,MATCH(A8,Duels!$E$5:$E$11,0)),IFERROR(INDEX(Duels!$A$5:$A$11,MATCH(INDEX(Scramble!$B$5:$B$6,IFERROR(MATCH(A8,Scramble!$C$5:$C$6,0),IFERROR(MATCH(A8,Scramble!$D$5:$D$6,0),1))),Duels!$B$5:$B$11,0)),IFERROR(INDEX(Duels!$A$5:$A$11,MATCH(INDEX(Scramble!$B$5:$B$6,IFERROR(MATCH(A8,Scramble!$C$5:$C$6,0),IFERROR(MATCH(A8,Scramble!$D$5:$D$6,0),1))),Duels!$E$5:$E$11,0)),"— none —"))))</f>
        <v>2</v>
      </c>
      <c r="I8" s="11" t="str">
        <f aca="false">IF(AND(COUNTIF(Teams!$B$5:$B$20,A8)=1,COUNTIF('Cart Pairings'!$B$5:$C$12,A8)=1),"OK","CHECK — "&amp;COUNTIF(Teams!$B$5:$B$20,A8)&amp;"x team, "&amp;COUNTIF('Cart Pairings'!$B$5:$C$12,A8)&amp;"x cart")</f>
        <v>OK</v>
      </c>
      <c r="K8" s="12" t="s">
        <v>20</v>
      </c>
      <c r="L8" s="13" t="n">
        <v>0.15</v>
      </c>
    </row>
    <row r="9" customFormat="false" ht="15" hidden="false" customHeight="true" outlineLevel="0" collapsed="false">
      <c r="A9" s="7" t="s">
        <v>21</v>
      </c>
      <c r="B9" s="8" t="n">
        <v>13.4</v>
      </c>
      <c r="C9" s="9" t="s">
        <v>13</v>
      </c>
      <c r="D9" s="10" t="n">
        <f aca="false">ROUND(MIN(B9,$L$5)*$L$6,0)</f>
        <v>12</v>
      </c>
      <c r="E9" s="10" t="str">
        <f aca="false">IF(COUNTIF(Scramble!$C$5:$D$6,A9)&gt;0,"Scramble","Individual")</f>
        <v>Individual</v>
      </c>
      <c r="F9" s="10" t="str">
        <f aca="false" t="array" ref="F9:F9">IFERROR(INDEX(Teams!$A$5:$A$20,MATCH(A9,Teams!$B$5:$B$20,0)),"— none —")</f>
        <v>Black &amp; Decker</v>
      </c>
      <c r="G9" s="10" t="n">
        <f aca="false" t="array" ref="G9:G9">IFERROR(INDEX('Cart Pairings'!$A$5:$A$12,MATCH(A9,'Cart Pairings'!$B$5:$B$12,0)),IFERROR(INDEX('Cart Pairings'!$A$5:$A$12,MATCH(A9,'Cart Pairings'!$C$5:$C$12,0)),"— none —"))</f>
        <v>5</v>
      </c>
      <c r="H9" s="10" t="n">
        <f aca="false" t="array" ref="H9:H9">IFERROR(INDEX(Duels!$A$5:$A$11,MATCH(A9,Duels!$B$5:$B$11,0)),IFERROR(INDEX(Duels!$A$5:$A$11,MATCH(A9,Duels!$E$5:$E$11,0)),IFERROR(INDEX(Duels!$A$5:$A$11,MATCH(INDEX(Scramble!$B$5:$B$6,IFERROR(MATCH(A9,Scramble!$C$5:$C$6,0),IFERROR(MATCH(A9,Scramble!$D$5:$D$6,0),1))),Duels!$B$5:$B$11,0)),IFERROR(INDEX(Duels!$A$5:$A$11,MATCH(INDEX(Scramble!$B$5:$B$6,IFERROR(MATCH(A9,Scramble!$C$5:$C$6,0),IFERROR(MATCH(A9,Scramble!$D$5:$D$6,0),1))),Duels!$E$5:$E$11,0)),"— none —"))))</f>
        <v>4</v>
      </c>
      <c r="I9" s="11" t="str">
        <f aca="false">IF(AND(COUNTIF(Teams!$B$5:$B$20,A9)=1,COUNTIF('Cart Pairings'!$B$5:$C$12,A9)=1),"OK","CHECK — "&amp;COUNTIF(Teams!$B$5:$B$20,A9)&amp;"x team, "&amp;COUNTIF('Cart Pairings'!$B$5:$C$12,A9)&amp;"x cart")</f>
        <v>OK</v>
      </c>
      <c r="K9" s="14" t="s">
        <v>22</v>
      </c>
      <c r="L9" s="15" t="n">
        <v>71.1</v>
      </c>
    </row>
    <row r="10" customFormat="false" ht="15" hidden="false" customHeight="true" outlineLevel="0" collapsed="false">
      <c r="A10" s="7" t="s">
        <v>23</v>
      </c>
      <c r="B10" s="8" t="n">
        <v>13.6</v>
      </c>
      <c r="C10" s="9" t="s">
        <v>13</v>
      </c>
      <c r="D10" s="10" t="n">
        <f aca="false">ROUND(MIN(B10,$L$5)*$L$6,0)</f>
        <v>12</v>
      </c>
      <c r="E10" s="10" t="str">
        <f aca="false">IF(COUNTIF(Scramble!$C$5:$D$6,A10)&gt;0,"Scramble","Individual")</f>
        <v>Individual</v>
      </c>
      <c r="F10" s="10" t="str">
        <f aca="false" t="array" ref="F10:F10">IFERROR(INDEX(Teams!$A$5:$A$20,MATCH(A10,Teams!$B$5:$B$20,0)),"— none —")</f>
        <v>Black &amp; Decker</v>
      </c>
      <c r="G10" s="10" t="n">
        <f aca="false" t="array" ref="G10:G10">IFERROR(INDEX('Cart Pairings'!$A$5:$A$12,MATCH(A10,'Cart Pairings'!$B$5:$B$12,0)),IFERROR(INDEX('Cart Pairings'!$A$5:$A$12,MATCH(A10,'Cart Pairings'!$C$5:$C$12,0)),"— none —"))</f>
        <v>3</v>
      </c>
      <c r="H10" s="10" t="n">
        <f aca="false" t="array" ref="H10:H10">IFERROR(INDEX(Duels!$A$5:$A$11,MATCH(A10,Duels!$B$5:$B$11,0)),IFERROR(INDEX(Duels!$A$5:$A$11,MATCH(A10,Duels!$E$5:$E$11,0)),IFERROR(INDEX(Duels!$A$5:$A$11,MATCH(INDEX(Scramble!$B$5:$B$6,IFERROR(MATCH(A10,Scramble!$C$5:$C$6,0),IFERROR(MATCH(A10,Scramble!$D$5:$D$6,0),1))),Duels!$B$5:$B$11,0)),IFERROR(INDEX(Duels!$A$5:$A$11,MATCH(INDEX(Scramble!$B$5:$B$6,IFERROR(MATCH(A10,Scramble!$C$5:$C$6,0),IFERROR(MATCH(A10,Scramble!$D$5:$D$6,0),1))),Duels!$E$5:$E$11,0)),"— none —"))))</f>
        <v>3</v>
      </c>
      <c r="I10" s="11" t="str">
        <f aca="false">IF(AND(COUNTIF(Teams!$B$5:$B$20,A10)=1,COUNTIF('Cart Pairings'!$B$5:$C$12,A10)=1),"OK","CHECK — "&amp;COUNTIF(Teams!$B$5:$B$20,A10)&amp;"x team, "&amp;COUNTIF('Cart Pairings'!$B$5:$C$12,A10)&amp;"x cart")</f>
        <v>OK</v>
      </c>
      <c r="K10" s="14" t="s">
        <v>24</v>
      </c>
      <c r="L10" s="15" t="n">
        <v>68.4</v>
      </c>
    </row>
    <row r="11" customFormat="false" ht="15" hidden="false" customHeight="true" outlineLevel="0" collapsed="false">
      <c r="A11" s="7" t="s">
        <v>25</v>
      </c>
      <c r="B11" s="8" t="n">
        <v>13.9</v>
      </c>
      <c r="C11" s="9" t="s">
        <v>13</v>
      </c>
      <c r="D11" s="10" t="n">
        <f aca="false">ROUND(MIN(B11,$L$5)*$L$6,0)</f>
        <v>13</v>
      </c>
      <c r="E11" s="10" t="str">
        <f aca="false">IF(COUNTIF(Scramble!$C$5:$D$6,A11)&gt;0,"Scramble","Individual")</f>
        <v>Individual</v>
      </c>
      <c r="F11" s="10" t="str">
        <f aca="false" t="array" ref="F11:F11">IFERROR(INDEX(Teams!$A$5:$A$20,MATCH(A11,Teams!$B$5:$B$20,0)),"— none —")</f>
        <v>Ryobi</v>
      </c>
      <c r="G11" s="10" t="n">
        <f aca="false" t="array" ref="G11:G11">IFERROR(INDEX('Cart Pairings'!$A$5:$A$12,MATCH(A11,'Cart Pairings'!$B$5:$B$12,0)),IFERROR(INDEX('Cart Pairings'!$A$5:$A$12,MATCH(A11,'Cart Pairings'!$C$5:$C$12,0)),"— none —"))</f>
        <v>4</v>
      </c>
      <c r="H11" s="10" t="n">
        <f aca="false" t="array" ref="H11:H11">IFERROR(INDEX(Duels!$A$5:$A$11,MATCH(A11,Duels!$B$5:$B$11,0)),IFERROR(INDEX(Duels!$A$5:$A$11,MATCH(A11,Duels!$E$5:$E$11,0)),IFERROR(INDEX(Duels!$A$5:$A$11,MATCH(INDEX(Scramble!$B$5:$B$6,IFERROR(MATCH(A11,Scramble!$C$5:$C$6,0),IFERROR(MATCH(A11,Scramble!$D$5:$D$6,0),1))),Duels!$B$5:$B$11,0)),IFERROR(INDEX(Duels!$A$5:$A$11,MATCH(INDEX(Scramble!$B$5:$B$6,IFERROR(MATCH(A11,Scramble!$C$5:$C$6,0),IFERROR(MATCH(A11,Scramble!$D$5:$D$6,0),1))),Duels!$E$5:$E$11,0)),"— none —"))))</f>
        <v>3</v>
      </c>
      <c r="I11" s="11" t="str">
        <f aca="false">IF(AND(COUNTIF(Teams!$B$5:$B$20,A11)=1,COUNTIF('Cart Pairings'!$B$5:$C$12,A11)=1),"OK","CHECK — "&amp;COUNTIF(Teams!$B$5:$B$20,A11)&amp;"x team, "&amp;COUNTIF('Cart Pairings'!$B$5:$C$12,A11)&amp;"x cart")</f>
        <v>OK</v>
      </c>
      <c r="K11" s="14" t="s">
        <v>26</v>
      </c>
      <c r="L11" s="16" t="n">
        <f aca="false">-ROUND($L$9-$L$10,0)</f>
        <v>-3</v>
      </c>
    </row>
    <row r="12" customFormat="false" ht="15" hidden="false" customHeight="true" outlineLevel="0" collapsed="false">
      <c r="A12" s="7" t="s">
        <v>27</v>
      </c>
      <c r="B12" s="8" t="n">
        <v>14.9</v>
      </c>
      <c r="C12" s="9" t="s">
        <v>13</v>
      </c>
      <c r="D12" s="10" t="n">
        <f aca="false">ROUND(MIN(B12,$L$5)*$L$6,0)</f>
        <v>13</v>
      </c>
      <c r="E12" s="10" t="str">
        <f aca="false">IF(COUNTIF(Scramble!$C$5:$D$6,A12)&gt;0,"Scramble","Individual")</f>
        <v>Individual</v>
      </c>
      <c r="F12" s="10" t="str">
        <f aca="false" t="array" ref="F12:F12">IFERROR(INDEX(Teams!$A$5:$A$20,MATCH(A12,Teams!$B$5:$B$20,0)),"— none —")</f>
        <v>Ryobi</v>
      </c>
      <c r="G12" s="10" t="n">
        <f aca="false" t="array" ref="G12:G12">IFERROR(INDEX('Cart Pairings'!$A$5:$A$12,MATCH(A12,'Cart Pairings'!$B$5:$B$12,0)),IFERROR(INDEX('Cart Pairings'!$A$5:$A$12,MATCH(A12,'Cart Pairings'!$C$5:$C$12,0)),"— none —"))</f>
        <v>6</v>
      </c>
      <c r="H12" s="10" t="n">
        <f aca="false" t="array" ref="H12:H12">IFERROR(INDEX(Duels!$A$5:$A$11,MATCH(A12,Duels!$B$5:$B$11,0)),IFERROR(INDEX(Duels!$A$5:$A$11,MATCH(A12,Duels!$E$5:$E$11,0)),IFERROR(INDEX(Duels!$A$5:$A$11,MATCH(INDEX(Scramble!$B$5:$B$6,IFERROR(MATCH(A12,Scramble!$C$5:$C$6,0),IFERROR(MATCH(A12,Scramble!$D$5:$D$6,0),1))),Duels!$B$5:$B$11,0)),IFERROR(INDEX(Duels!$A$5:$A$11,MATCH(INDEX(Scramble!$B$5:$B$6,IFERROR(MATCH(A12,Scramble!$C$5:$C$6,0),IFERROR(MATCH(A12,Scramble!$D$5:$D$6,0),1))),Duels!$E$5:$E$11,0)),"— none —"))))</f>
        <v>4</v>
      </c>
      <c r="I12" s="11" t="str">
        <f aca="false">IF(AND(COUNTIF(Teams!$B$5:$B$20,A12)=1,COUNTIF('Cart Pairings'!$B$5:$C$12,A12)=1),"OK","CHECK — "&amp;COUNTIF(Teams!$B$5:$B$20,A12)&amp;"x team, "&amp;COUNTIF('Cart Pairings'!$B$5:$C$12,A12)&amp;"x cart")</f>
        <v>OK</v>
      </c>
      <c r="K12" s="14" t="s">
        <v>28</v>
      </c>
      <c r="L12" s="13" t="n">
        <v>12</v>
      </c>
    </row>
    <row r="13" customFormat="false" ht="15" hidden="false" customHeight="true" outlineLevel="0" collapsed="false">
      <c r="A13" s="7" t="s">
        <v>29</v>
      </c>
      <c r="B13" s="8" t="n">
        <v>18</v>
      </c>
      <c r="C13" s="9" t="s">
        <v>13</v>
      </c>
      <c r="D13" s="10" t="n">
        <f aca="false">ROUND(MIN(B13,$L$5)*$L$6,0)</f>
        <v>16</v>
      </c>
      <c r="E13" s="10" t="str">
        <f aca="false">IF(COUNTIF(Scramble!$C$5:$D$6,A13)&gt;0,"Scramble","Individual")</f>
        <v>Individual</v>
      </c>
      <c r="F13" s="10" t="str">
        <f aca="false" t="array" ref="F13:F13">IFERROR(INDEX(Teams!$A$5:$A$20,MATCH(A13,Teams!$B$5:$B$20,0)),"— none —")</f>
        <v>Ryobi</v>
      </c>
      <c r="G13" s="10" t="n">
        <f aca="false" t="array" ref="G13:G13">IFERROR(INDEX('Cart Pairings'!$A$5:$A$12,MATCH(A13,'Cart Pairings'!$B$5:$B$12,0)),IFERROR(INDEX('Cart Pairings'!$A$5:$A$12,MATCH(A13,'Cart Pairings'!$C$5:$C$12,0)),"— none —"))</f>
        <v>3</v>
      </c>
      <c r="H13" s="10" t="n">
        <f aca="false" t="array" ref="H13:H13">IFERROR(INDEX(Duels!$A$5:$A$11,MATCH(A13,Duels!$B$5:$B$11,0)),IFERROR(INDEX(Duels!$A$5:$A$11,MATCH(A13,Duels!$E$5:$E$11,0)),IFERROR(INDEX(Duels!$A$5:$A$11,MATCH(INDEX(Scramble!$B$5:$B$6,IFERROR(MATCH(A13,Scramble!$C$5:$C$6,0),IFERROR(MATCH(A13,Scramble!$D$5:$D$6,0),1))),Duels!$B$5:$B$11,0)),IFERROR(INDEX(Duels!$A$5:$A$11,MATCH(INDEX(Scramble!$B$5:$B$6,IFERROR(MATCH(A13,Scramble!$C$5:$C$6,0),IFERROR(MATCH(A13,Scramble!$D$5:$D$6,0),1))),Duels!$E$5:$E$11,0)),"— none —"))))</f>
        <v>5</v>
      </c>
      <c r="I13" s="11" t="str">
        <f aca="false">IF(AND(COUNTIF(Teams!$B$5:$B$20,A13)=1,COUNTIF('Cart Pairings'!$B$5:$C$12,A13)=1),"OK","CHECK — "&amp;COUNTIF(Teams!$B$5:$B$20,A13)&amp;"x team, "&amp;COUNTIF('Cart Pairings'!$B$5:$C$12,A13)&amp;"x cart")</f>
        <v>OK</v>
      </c>
      <c r="K13" s="17" t="s">
        <v>30</v>
      </c>
    </row>
    <row r="14" customFormat="false" ht="15" hidden="false" customHeight="true" outlineLevel="0" collapsed="false">
      <c r="A14" s="7" t="s">
        <v>31</v>
      </c>
      <c r="B14" s="8" t="n">
        <v>19</v>
      </c>
      <c r="C14" s="9" t="s">
        <v>13</v>
      </c>
      <c r="D14" s="10" t="n">
        <f aca="false">ROUND(MIN(B14,$L$5)*$L$6,0)</f>
        <v>17</v>
      </c>
      <c r="E14" s="10" t="str">
        <f aca="false">IF(COUNTIF(Scramble!$C$5:$D$6,A14)&gt;0,"Scramble","Individual")</f>
        <v>Individual</v>
      </c>
      <c r="F14" s="10" t="str">
        <f aca="false" t="array" ref="F14:F14">IFERROR(INDEX(Teams!$A$5:$A$20,MATCH(A14,Teams!$B$5:$B$20,0)),"— none —")</f>
        <v>Black &amp; Decker</v>
      </c>
      <c r="G14" s="10" t="n">
        <f aca="false" t="array" ref="G14:G14">IFERROR(INDEX('Cart Pairings'!$A$5:$A$12,MATCH(A14,'Cart Pairings'!$B$5:$B$12,0)),IFERROR(INDEX('Cart Pairings'!$A$5:$A$12,MATCH(A14,'Cart Pairings'!$C$5:$C$12,0)),"— none —"))</f>
        <v>5</v>
      </c>
      <c r="H14" s="10" t="n">
        <f aca="false" t="array" ref="H14:H14">IFERROR(INDEX(Duels!$A$5:$A$11,MATCH(A14,Duels!$B$5:$B$11,0)),IFERROR(INDEX(Duels!$A$5:$A$11,MATCH(A14,Duels!$E$5:$E$11,0)),IFERROR(INDEX(Duels!$A$5:$A$11,MATCH(INDEX(Scramble!$B$5:$B$6,IFERROR(MATCH(A14,Scramble!$C$5:$C$6,0),IFERROR(MATCH(A14,Scramble!$D$5:$D$6,0),1))),Duels!$B$5:$B$11,0)),IFERROR(INDEX(Duels!$A$5:$A$11,MATCH(INDEX(Scramble!$B$5:$B$6,IFERROR(MATCH(A14,Scramble!$C$5:$C$6,0),IFERROR(MATCH(A14,Scramble!$D$5:$D$6,0),1))),Duels!$E$5:$E$11,0)),"— none —"))))</f>
        <v>5</v>
      </c>
      <c r="I14" s="11" t="str">
        <f aca="false">IF(AND(COUNTIF(Teams!$B$5:$B$20,A14)=1,COUNTIF('Cart Pairings'!$B$5:$C$12,A14)=1),"OK","CHECK — "&amp;COUNTIF(Teams!$B$5:$B$20,A14)&amp;"x team, "&amp;COUNTIF('Cart Pairings'!$B$5:$C$12,A14)&amp;"x cart")</f>
        <v>OK</v>
      </c>
      <c r="K14" s="17" t="s">
        <v>32</v>
      </c>
    </row>
    <row r="15" customFormat="false" ht="15" hidden="false" customHeight="true" outlineLevel="0" collapsed="false">
      <c r="A15" s="7" t="s">
        <v>33</v>
      </c>
      <c r="B15" s="8" t="n">
        <v>23</v>
      </c>
      <c r="C15" s="9" t="s">
        <v>13</v>
      </c>
      <c r="D15" s="10" t="n">
        <f aca="false">ROUND(MIN(B15,$L$5)*$L$6,0)</f>
        <v>21</v>
      </c>
      <c r="E15" s="10" t="str">
        <f aca="false">IF(COUNTIF(Scramble!$C$5:$D$6,A15)&gt;0,"Scramble","Individual")</f>
        <v>Individual</v>
      </c>
      <c r="F15" s="10" t="str">
        <f aca="false" t="array" ref="F15:F15">IFERROR(INDEX(Teams!$A$5:$A$20,MATCH(A15,Teams!$B$5:$B$20,0)),"— none —")</f>
        <v>Black &amp; Decker</v>
      </c>
      <c r="G15" s="10" t="n">
        <f aca="false" t="array" ref="G15:G15">IFERROR(INDEX('Cart Pairings'!$A$5:$A$12,MATCH(A15,'Cart Pairings'!$B$5:$B$12,0)),IFERROR(INDEX('Cart Pairings'!$A$5:$A$12,MATCH(A15,'Cart Pairings'!$C$5:$C$12,0)),"— none —"))</f>
        <v>4</v>
      </c>
      <c r="H15" s="10" t="n">
        <f aca="false" t="array" ref="H15:H15">IFERROR(INDEX(Duels!$A$5:$A$11,MATCH(A15,Duels!$B$5:$B$11,0)),IFERROR(INDEX(Duels!$A$5:$A$11,MATCH(A15,Duels!$E$5:$E$11,0)),IFERROR(INDEX(Duels!$A$5:$A$11,MATCH(INDEX(Scramble!$B$5:$B$6,IFERROR(MATCH(A15,Scramble!$C$5:$C$6,0),IFERROR(MATCH(A15,Scramble!$D$5:$D$6,0),1))),Duels!$B$5:$B$11,0)),IFERROR(INDEX(Duels!$A$5:$A$11,MATCH(INDEX(Scramble!$B$5:$B$6,IFERROR(MATCH(A15,Scramble!$C$5:$C$6,0),IFERROR(MATCH(A15,Scramble!$D$5:$D$6,0),1))),Duels!$E$5:$E$11,0)),"— none —"))))</f>
        <v>6</v>
      </c>
      <c r="I15" s="11" t="str">
        <f aca="false">IF(AND(COUNTIF(Teams!$B$5:$B$20,A15)=1,COUNTIF('Cart Pairings'!$B$5:$C$12,A15)=1),"OK","CHECK — "&amp;COUNTIF(Teams!$B$5:$B$20,A15)&amp;"x team, "&amp;COUNTIF('Cart Pairings'!$B$5:$C$12,A15)&amp;"x cart")</f>
        <v>OK</v>
      </c>
      <c r="K15" s="17"/>
    </row>
    <row r="16" customFormat="false" ht="15" hidden="false" customHeight="true" outlineLevel="0" collapsed="false">
      <c r="A16" s="7" t="s">
        <v>34</v>
      </c>
      <c r="B16" s="8" t="n">
        <v>25</v>
      </c>
      <c r="C16" s="9" t="s">
        <v>35</v>
      </c>
      <c r="D16" s="10" t="n">
        <f aca="false">ROUND(MIN(B16,$L$5)*$L$6,0)</f>
        <v>23</v>
      </c>
      <c r="E16" s="10" t="str">
        <f aca="false">IF(COUNTIF(Scramble!$C$5:$D$6,A16)&gt;0,"Scramble","Individual")</f>
        <v>Scramble</v>
      </c>
      <c r="F16" s="10" t="str">
        <f aca="false" t="array" ref="F16:F16">IFERROR(INDEX(Teams!$A$5:$A$20,MATCH(A16,Teams!$B$5:$B$20,0)),"— none —")</f>
        <v>Ryobi</v>
      </c>
      <c r="G16" s="10" t="n">
        <f aca="false" t="array" ref="G16:G16">IFERROR(INDEX('Cart Pairings'!$A$5:$A$12,MATCH(A16,'Cart Pairings'!$B$5:$B$12,0)),IFERROR(INDEX('Cart Pairings'!$A$5:$A$12,MATCH(A16,'Cart Pairings'!$C$5:$C$12,0)),"— none —"))</f>
        <v>7</v>
      </c>
      <c r="H16" s="10" t="n">
        <f aca="false" t="array" ref="H16:H16">IFERROR(INDEX(Duels!$A$5:$A$11,MATCH(A16,Duels!$B$5:$B$11,0)),IFERROR(INDEX(Duels!$A$5:$A$11,MATCH(A16,Duels!$E$5:$E$11,0)),IFERROR(INDEX(Duels!$A$5:$A$11,MATCH(INDEX(Scramble!$B$5:$B$6,IFERROR(MATCH(A16,Scramble!$C$5:$C$6,0),IFERROR(MATCH(A16,Scramble!$D$5:$D$6,0),1))),Duels!$B$5:$B$11,0)),IFERROR(INDEX(Duels!$A$5:$A$11,MATCH(INDEX(Scramble!$B$5:$B$6,IFERROR(MATCH(A16,Scramble!$C$5:$C$6,0),IFERROR(MATCH(A16,Scramble!$D$5:$D$6,0),1))),Duels!$E$5:$E$11,0)),"— none —"))))</f>
        <v>7</v>
      </c>
      <c r="I16" s="11" t="str">
        <f aca="false">IF(AND(COUNTIF(Teams!$B$5:$B$20,A16)=1,COUNTIF('Cart Pairings'!$B$5:$C$12,A16)=1),"OK","CHECK — "&amp;COUNTIF(Teams!$B$5:$B$20,A16)&amp;"x team, "&amp;COUNTIF('Cart Pairings'!$B$5:$C$12,A16)&amp;"x cart")</f>
        <v>OK</v>
      </c>
      <c r="K16" s="18" t="s">
        <v>36</v>
      </c>
    </row>
    <row r="17" customFormat="false" ht="15" hidden="false" customHeight="true" outlineLevel="0" collapsed="false">
      <c r="A17" s="7" t="s">
        <v>37</v>
      </c>
      <c r="B17" s="8" t="n">
        <v>25</v>
      </c>
      <c r="C17" s="9" t="s">
        <v>35</v>
      </c>
      <c r="D17" s="10" t="n">
        <f aca="false">ROUND(MIN(B17,$L$5)*$L$6,0)</f>
        <v>23</v>
      </c>
      <c r="E17" s="10" t="str">
        <f aca="false">IF(COUNTIF(Scramble!$C$5:$D$6,A17)&gt;0,"Scramble","Individual")</f>
        <v>Scramble</v>
      </c>
      <c r="F17" s="10" t="str">
        <f aca="false" t="array" ref="F17:F17">IFERROR(INDEX(Teams!$A$5:$A$20,MATCH(A17,Teams!$B$5:$B$20,0)),"— none —")</f>
        <v>Black &amp; Decker</v>
      </c>
      <c r="G17" s="10" t="n">
        <f aca="false" t="array" ref="G17:G17">IFERROR(INDEX('Cart Pairings'!$A$5:$A$12,MATCH(A17,'Cart Pairings'!$B$5:$B$12,0)),IFERROR(INDEX('Cart Pairings'!$A$5:$A$12,MATCH(A17,'Cart Pairings'!$C$5:$C$12,0)),"— none —"))</f>
        <v>8</v>
      </c>
      <c r="H17" s="10" t="n">
        <f aca="false" t="array" ref="H17:H17">IFERROR(INDEX(Duels!$A$5:$A$11,MATCH(A17,Duels!$B$5:$B$11,0)),IFERROR(INDEX(Duels!$A$5:$A$11,MATCH(A17,Duels!$E$5:$E$11,0)),IFERROR(INDEX(Duels!$A$5:$A$11,MATCH(INDEX(Scramble!$B$5:$B$6,IFERROR(MATCH(A17,Scramble!$C$5:$C$6,0),IFERROR(MATCH(A17,Scramble!$D$5:$D$6,0),1))),Duels!$B$5:$B$11,0)),IFERROR(INDEX(Duels!$A$5:$A$11,MATCH(INDEX(Scramble!$B$5:$B$6,IFERROR(MATCH(A17,Scramble!$C$5:$C$6,0),IFERROR(MATCH(A17,Scramble!$D$5:$D$6,0),1))),Duels!$E$5:$E$11,0)),"— none —"))))</f>
        <v>7</v>
      </c>
      <c r="I17" s="11" t="str">
        <f aca="false">IF(AND(COUNTIF(Teams!$B$5:$B$20,A17)=1,COUNTIF('Cart Pairings'!$B$5:$C$12,A17)=1),"OK","CHECK — "&amp;COUNTIF(Teams!$B$5:$B$20,A17)&amp;"x team, "&amp;COUNTIF('Cart Pairings'!$B$5:$C$12,A17)&amp;"x cart")</f>
        <v>OK</v>
      </c>
      <c r="K17" s="17" t="s">
        <v>38</v>
      </c>
    </row>
    <row r="18" customFormat="false" ht="15" hidden="false" customHeight="true" outlineLevel="0" collapsed="false">
      <c r="A18" s="7" t="s">
        <v>39</v>
      </c>
      <c r="B18" s="8" t="n">
        <v>25</v>
      </c>
      <c r="C18" s="9" t="s">
        <v>35</v>
      </c>
      <c r="D18" s="10" t="n">
        <f aca="false">ROUND(MIN(B18,$L$5)*$L$6,0)</f>
        <v>23</v>
      </c>
      <c r="E18" s="10" t="str">
        <f aca="false">IF(COUNTIF(Scramble!$C$5:$D$6,A18)&gt;0,"Scramble","Individual")</f>
        <v>Scramble</v>
      </c>
      <c r="F18" s="10" t="str">
        <f aca="false" t="array" ref="F18:F18">IFERROR(INDEX(Teams!$A$5:$A$20,MATCH(A18,Teams!$B$5:$B$20,0)),"— none —")</f>
        <v>Black &amp; Decker</v>
      </c>
      <c r="G18" s="10" t="n">
        <f aca="false" t="array" ref="G18:G18">IFERROR(INDEX('Cart Pairings'!$A$5:$A$12,MATCH(A18,'Cart Pairings'!$B$5:$B$12,0)),IFERROR(INDEX('Cart Pairings'!$A$5:$A$12,MATCH(A18,'Cart Pairings'!$C$5:$C$12,0)),"— none —"))</f>
        <v>8</v>
      </c>
      <c r="H18" s="10" t="n">
        <f aca="false" t="array" ref="H18:H18">IFERROR(INDEX(Duels!$A$5:$A$11,MATCH(A18,Duels!$B$5:$B$11,0)),IFERROR(INDEX(Duels!$A$5:$A$11,MATCH(A18,Duels!$E$5:$E$11,0)),IFERROR(INDEX(Duels!$A$5:$A$11,MATCH(INDEX(Scramble!$B$5:$B$6,IFERROR(MATCH(A18,Scramble!$C$5:$C$6,0),IFERROR(MATCH(A18,Scramble!$D$5:$D$6,0),1))),Duels!$B$5:$B$11,0)),IFERROR(INDEX(Duels!$A$5:$A$11,MATCH(INDEX(Scramble!$B$5:$B$6,IFERROR(MATCH(A18,Scramble!$C$5:$C$6,0),IFERROR(MATCH(A18,Scramble!$D$5:$D$6,0),1))),Duels!$E$5:$E$11,0)),"— none —"))))</f>
        <v>7</v>
      </c>
      <c r="I18" s="11" t="str">
        <f aca="false">IF(AND(COUNTIF(Teams!$B$5:$B$20,A18)=1,COUNTIF('Cart Pairings'!$B$5:$C$12,A18)=1),"OK","CHECK — "&amp;COUNTIF(Teams!$B$5:$B$20,A18)&amp;"x team, "&amp;COUNTIF('Cart Pairings'!$B$5:$C$12,A18)&amp;"x cart")</f>
        <v>OK</v>
      </c>
      <c r="K18" s="17" t="s">
        <v>40</v>
      </c>
    </row>
    <row r="19" customFormat="false" ht="15" hidden="false" customHeight="true" outlineLevel="0" collapsed="false">
      <c r="A19" s="7" t="s">
        <v>41</v>
      </c>
      <c r="B19" s="8" t="n">
        <v>25</v>
      </c>
      <c r="C19" s="9" t="s">
        <v>35</v>
      </c>
      <c r="D19" s="10" t="n">
        <f aca="false">ROUND(MIN(B19,$L$5)*$L$6,0)</f>
        <v>23</v>
      </c>
      <c r="E19" s="10" t="str">
        <f aca="false">IF(COUNTIF(Scramble!$C$5:$D$6,A19)&gt;0,"Scramble","Individual")</f>
        <v>Individual</v>
      </c>
      <c r="F19" s="10" t="str">
        <f aca="false" t="array" ref="F19:F19">IFERROR(INDEX(Teams!$A$5:$A$20,MATCH(A19,Teams!$B$5:$B$20,0)),"— none —")</f>
        <v>Ryobi</v>
      </c>
      <c r="G19" s="10" t="n">
        <f aca="false" t="array" ref="G19:G19">IFERROR(INDEX('Cart Pairings'!$A$5:$A$12,MATCH(A19,'Cart Pairings'!$B$5:$B$12,0)),IFERROR(INDEX('Cart Pairings'!$A$5:$A$12,MATCH(A19,'Cart Pairings'!$C$5:$C$12,0)),"— none —"))</f>
        <v>6</v>
      </c>
      <c r="H19" s="10" t="n">
        <f aca="false" t="array" ref="H19:H19">IFERROR(INDEX(Duels!$A$5:$A$11,MATCH(A19,Duels!$B$5:$B$11,0)),IFERROR(INDEX(Duels!$A$5:$A$11,MATCH(A19,Duels!$E$5:$E$11,0)),IFERROR(INDEX(Duels!$A$5:$A$11,MATCH(INDEX(Scramble!$B$5:$B$6,IFERROR(MATCH(A19,Scramble!$C$5:$C$6,0),IFERROR(MATCH(A19,Scramble!$D$5:$D$6,0),1))),Duels!$B$5:$B$11,0)),IFERROR(INDEX(Duels!$A$5:$A$11,MATCH(INDEX(Scramble!$B$5:$B$6,IFERROR(MATCH(A19,Scramble!$C$5:$C$6,0),IFERROR(MATCH(A19,Scramble!$D$5:$D$6,0),1))),Duels!$E$5:$E$11,0)),"— none —"))))</f>
        <v>6</v>
      </c>
      <c r="I19" s="11" t="str">
        <f aca="false">IF(AND(COUNTIF(Teams!$B$5:$B$20,A19)=1,COUNTIF('Cart Pairings'!$B$5:$C$12,A19)=1),"OK","CHECK — "&amp;COUNTIF(Teams!$B$5:$B$20,A19)&amp;"x team, "&amp;COUNTIF('Cart Pairings'!$B$5:$C$12,A19)&amp;"x cart")</f>
        <v>OK</v>
      </c>
    </row>
    <row r="20" customFormat="false" ht="15" hidden="false" customHeight="true" outlineLevel="0" collapsed="false">
      <c r="A20" s="7" t="s">
        <v>42</v>
      </c>
      <c r="B20" s="8" t="n">
        <v>25</v>
      </c>
      <c r="C20" s="9" t="s">
        <v>35</v>
      </c>
      <c r="D20" s="10" t="n">
        <f aca="false">ROUND(MIN(B20,$L$5)*$L$6,0)</f>
        <v>23</v>
      </c>
      <c r="E20" s="10" t="str">
        <f aca="false">IF(COUNTIF(Scramble!$C$5:$D$6,A20)&gt;0,"Scramble","Individual")</f>
        <v>Scramble</v>
      </c>
      <c r="F20" s="10" t="str">
        <f aca="false" t="array" ref="F20:F20">IFERROR(INDEX(Teams!$A$5:$A$20,MATCH(A20,Teams!$B$5:$B$20,0)),"— none —")</f>
        <v>Ryobi</v>
      </c>
      <c r="G20" s="10" t="n">
        <f aca="false" t="array" ref="G20:G20">IFERROR(INDEX('Cart Pairings'!$A$5:$A$12,MATCH(A20,'Cart Pairings'!$B$5:$B$12,0)),IFERROR(INDEX('Cart Pairings'!$A$5:$A$12,MATCH(A20,'Cart Pairings'!$C$5:$C$12,0)),"— none —"))</f>
        <v>7</v>
      </c>
      <c r="H20" s="10" t="n">
        <f aca="false" t="array" ref="H20:H20">IFERROR(INDEX(Duels!$A$5:$A$11,MATCH(A20,Duels!$B$5:$B$11,0)),IFERROR(INDEX(Duels!$A$5:$A$11,MATCH(A20,Duels!$E$5:$E$11,0)),IFERROR(INDEX(Duels!$A$5:$A$11,MATCH(INDEX(Scramble!$B$5:$B$6,IFERROR(MATCH(A20,Scramble!$C$5:$C$6,0),IFERROR(MATCH(A20,Scramble!$D$5:$D$6,0),1))),Duels!$B$5:$B$11,0)),IFERROR(INDEX(Duels!$A$5:$A$11,MATCH(INDEX(Scramble!$B$5:$B$6,IFERROR(MATCH(A20,Scramble!$C$5:$C$6,0),IFERROR(MATCH(A20,Scramble!$D$5:$D$6,0),1))),Duels!$E$5:$E$11,0)),"— none —"))))</f>
        <v>7</v>
      </c>
      <c r="I20" s="11" t="str">
        <f aca="false">IF(AND(COUNTIF(Teams!$B$5:$B$20,A20)=1,COUNTIF('Cart Pairings'!$B$5:$C$12,A20)=1),"OK","CHECK — "&amp;COUNTIF(Teams!$B$5:$B$20,A20)&amp;"x team, "&amp;COUNTIF('Cart Pairings'!$B$5:$C$12,A20)&amp;"x cart")</f>
        <v>OK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I5:I20">
    <cfRule type="cellIs" priority="2" operator="notEqual" aboveAverage="0" equalAverage="0" bottom="0" percent="0" rank="0" text="" dxfId="0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3"/>
    <col collapsed="false" customWidth="true" hidden="false" outlineLevel="0" max="7" min="7" style="1" width="22"/>
    <col collapsed="false" customWidth="true" hidden="false" outlineLevel="0" max="8" min="8" style="1" width="9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2" min="11" style="1" width="13"/>
    <col collapsed="false" customWidth="true" hidden="false" outlineLevel="0" max="26" min="13" style="1" width="8.71"/>
  </cols>
  <sheetData>
    <row r="1" customFormat="false" ht="17.25" hidden="false" customHeight="true" outlineLevel="0" collapsed="false">
      <c r="A1" s="2" t="s">
        <v>43</v>
      </c>
    </row>
    <row r="2" customFormat="false" ht="15" hidden="false" customHeight="true" outlineLevel="0" collapsed="false">
      <c r="A2" s="3" t="s">
        <v>44</v>
      </c>
    </row>
    <row r="4" customFormat="false" ht="39" hidden="false" customHeight="true" outlineLevel="0" collapsed="false">
      <c r="A4" s="19" t="s">
        <v>7</v>
      </c>
      <c r="B4" s="19" t="s">
        <v>2</v>
      </c>
      <c r="C4" s="19" t="s">
        <v>3</v>
      </c>
      <c r="D4" s="19" t="s">
        <v>45</v>
      </c>
      <c r="E4" s="19" t="s">
        <v>6</v>
      </c>
      <c r="G4" s="4" t="s">
        <v>7</v>
      </c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N4" s="20" t="s">
        <v>51</v>
      </c>
    </row>
    <row r="5" customFormat="false" ht="15" hidden="false" customHeight="true" outlineLevel="0" collapsed="false">
      <c r="A5" s="21" t="s">
        <v>52</v>
      </c>
      <c r="B5" s="9" t="s">
        <v>12</v>
      </c>
      <c r="C5" s="22" t="n">
        <f aca="false" t="array" ref="C5:C5">IFERROR(INDEX('Players &amp; Hdcp'!$B$5:$B$20,MATCH(B5,'Players &amp; Hdcp'!$A$5:$A$20,0)),"")</f>
        <v>3.2</v>
      </c>
      <c r="D5" s="10" t="n">
        <f aca="false" t="array" ref="D5:D5">IFERROR(INDEX('Players &amp; Hdcp'!$D$5:$D$20,MATCH(B5,'Players &amp; Hdcp'!$A$5:$A$20,0)),"")</f>
        <v>3</v>
      </c>
      <c r="E5" s="10" t="str">
        <f aca="false">IF(COUNTIF(Scramble!$C$5:$D$6,B5)&gt;0,"Scramble","Individual")</f>
        <v>Individual</v>
      </c>
      <c r="G5" s="21" t="s">
        <v>52</v>
      </c>
      <c r="H5" s="10" t="n">
        <f aca="false">COUNTIFS($A$5:$A$20,$G5,$B$5:$B$20,"&lt;&gt;")</f>
        <v>8</v>
      </c>
      <c r="I5" s="10" t="n">
        <f aca="false">COUNTIFS($A$5:$A$20,$G5,$E$5:$E$20,"Individual")</f>
        <v>6</v>
      </c>
      <c r="J5" s="10" t="n">
        <f aca="false">SUMIFS($D$5:$D$20,$A$5:$A$20,$G5,$E$5:$E$20,"Individual")</f>
        <v>78</v>
      </c>
      <c r="K5" s="10" t="n">
        <f aca="false">SUMIF(Scramble!$F$5:$F$6,$G5,Scramble!$G$5:$G$6)</f>
        <v>12</v>
      </c>
      <c r="L5" s="10" t="n">
        <f aca="false">J5+K5</f>
        <v>90</v>
      </c>
      <c r="N5" s="20" t="str">
        <f aca="false">IF(B5="","",IF(E5="Individual",A5&amp;"-"&amp;COUNTIFS($A$5:$A5,A5,$E$5:$E5,"Individual"),""))</f>
        <v>Ryobi-1</v>
      </c>
    </row>
    <row r="6" customFormat="false" ht="15" hidden="false" customHeight="true" outlineLevel="0" collapsed="false">
      <c r="A6" s="21" t="s">
        <v>52</v>
      </c>
      <c r="B6" s="9" t="s">
        <v>19</v>
      </c>
      <c r="C6" s="22" t="n">
        <f aca="false" t="array" ref="C6:C6">IFERROR(INDEX('Players &amp; Hdcp'!$B$5:$B$20,MATCH(B6,'Players &amp; Hdcp'!$A$5:$A$20,0)),"")</f>
        <v>11.5</v>
      </c>
      <c r="D6" s="10" t="n">
        <f aca="false" t="array" ref="D6:D6">IFERROR(INDEX('Players &amp; Hdcp'!$D$5:$D$20,MATCH(B6,'Players &amp; Hdcp'!$A$5:$A$20,0)),"")</f>
        <v>10</v>
      </c>
      <c r="E6" s="10" t="str">
        <f aca="false">IF(COUNTIF(Scramble!$C$5:$D$6,B6)&gt;0,"Scramble","Individual")</f>
        <v>Individual</v>
      </c>
      <c r="G6" s="23" t="s">
        <v>53</v>
      </c>
      <c r="H6" s="10" t="n">
        <f aca="false">COUNTIFS($A$5:$A$20,$G6,$B$5:$B$20,"&lt;&gt;")</f>
        <v>8</v>
      </c>
      <c r="I6" s="10" t="n">
        <f aca="false">COUNTIFS($A$5:$A$20,$G6,$E$5:$E$20,"Individual")</f>
        <v>6</v>
      </c>
      <c r="J6" s="10" t="n">
        <f aca="false">SUMIFS($D$5:$D$20,$A$5:$A$20,$G6,$E$5:$E$20,"Individual")</f>
        <v>79</v>
      </c>
      <c r="K6" s="10" t="n">
        <f aca="false">SUMIF(Scramble!$F$5:$F$6,$G6,Scramble!$G$5:$G$6)</f>
        <v>12</v>
      </c>
      <c r="L6" s="10" t="n">
        <f aca="false">J6+K6</f>
        <v>91</v>
      </c>
      <c r="N6" s="20" t="str">
        <f aca="false">IF(B6="","",IF(E6="Individual",A6&amp;"-"&amp;COUNTIFS($A$5:$A6,A6,$E$5:$E6,"Individual"),""))</f>
        <v>Ryobi-2</v>
      </c>
    </row>
    <row r="7" customFormat="false" ht="15" hidden="false" customHeight="true" outlineLevel="0" collapsed="false">
      <c r="A7" s="21" t="s">
        <v>52</v>
      </c>
      <c r="B7" s="9" t="s">
        <v>25</v>
      </c>
      <c r="C7" s="22" t="n">
        <f aca="false" t="array" ref="C7:C7">IFERROR(INDEX('Players &amp; Hdcp'!$B$5:$B$20,MATCH(B7,'Players &amp; Hdcp'!$A$5:$A$20,0)),"")</f>
        <v>13.9</v>
      </c>
      <c r="D7" s="10" t="n">
        <f aca="false" t="array" ref="D7:D7">IFERROR(INDEX('Players &amp; Hdcp'!$D$5:$D$20,MATCH(B7,'Players &amp; Hdcp'!$A$5:$A$20,0)),"")</f>
        <v>13</v>
      </c>
      <c r="E7" s="10" t="str">
        <f aca="false">IF(COUNTIF(Scramble!$C$5:$D$6,B7)&gt;0,"Scramble","Individual")</f>
        <v>Individual</v>
      </c>
      <c r="N7" s="20" t="str">
        <f aca="false">IF(B7="","",IF(E7="Individual",A7&amp;"-"&amp;COUNTIFS($A$5:$A7,A7,$E$5:$E7,"Individual"),""))</f>
        <v>Ryobi-3</v>
      </c>
    </row>
    <row r="8" customFormat="false" ht="15" hidden="false" customHeight="true" outlineLevel="0" collapsed="false">
      <c r="A8" s="21" t="s">
        <v>52</v>
      </c>
      <c r="B8" s="9" t="s">
        <v>27</v>
      </c>
      <c r="C8" s="22" t="n">
        <f aca="false" t="array" ref="C8:C8">IFERROR(INDEX('Players &amp; Hdcp'!$B$5:$B$20,MATCH(B8,'Players &amp; Hdcp'!$A$5:$A$20,0)),"")</f>
        <v>14.9</v>
      </c>
      <c r="D8" s="10" t="n">
        <f aca="false" t="array" ref="D8:D8">IFERROR(INDEX('Players &amp; Hdcp'!$D$5:$D$20,MATCH(B8,'Players &amp; Hdcp'!$A$5:$A$20,0)),"")</f>
        <v>13</v>
      </c>
      <c r="E8" s="10" t="str">
        <f aca="false">IF(COUNTIF(Scramble!$C$5:$D$6,B8)&gt;0,"Scramble","Individual")</f>
        <v>Individual</v>
      </c>
      <c r="G8" s="18" t="s">
        <v>54</v>
      </c>
      <c r="L8" s="24" t="n">
        <f aca="false">L5-L6</f>
        <v>-1</v>
      </c>
      <c r="N8" s="20" t="str">
        <f aca="false">IF(B8="","",IF(E8="Individual",A8&amp;"-"&amp;COUNTIFS($A$5:$A8,A8,$E$5:$E8,"Individual"),""))</f>
        <v>Ryobi-4</v>
      </c>
    </row>
    <row r="9" customFormat="false" ht="15" hidden="false" customHeight="true" outlineLevel="0" collapsed="false">
      <c r="A9" s="21" t="s">
        <v>52</v>
      </c>
      <c r="B9" s="9" t="s">
        <v>29</v>
      </c>
      <c r="C9" s="22" t="n">
        <f aca="false" t="array" ref="C9:C9">IFERROR(INDEX('Players &amp; Hdcp'!$B$5:$B$20,MATCH(B9,'Players &amp; Hdcp'!$A$5:$A$20,0)),"")</f>
        <v>18</v>
      </c>
      <c r="D9" s="10" t="n">
        <f aca="false" t="array" ref="D9:D9">IFERROR(INDEX('Players &amp; Hdcp'!$D$5:$D$20,MATCH(B9,'Players &amp; Hdcp'!$A$5:$A$20,0)),"")</f>
        <v>16</v>
      </c>
      <c r="E9" s="10" t="str">
        <f aca="false">IF(COUNTIF(Scramble!$C$5:$D$6,B9)&gt;0,"Scramble","Individual")</f>
        <v>Individual</v>
      </c>
      <c r="G9" s="3" t="s">
        <v>55</v>
      </c>
      <c r="N9" s="20" t="str">
        <f aca="false">IF(B9="","",IF(E9="Individual",A9&amp;"-"&amp;COUNTIFS($A$5:$A9,A9,$E$5:$E9,"Individual"),""))</f>
        <v>Ryobi-5</v>
      </c>
    </row>
    <row r="10" customFormat="false" ht="15" hidden="false" customHeight="true" outlineLevel="0" collapsed="false">
      <c r="A10" s="21" t="s">
        <v>52</v>
      </c>
      <c r="B10" s="9" t="s">
        <v>41</v>
      </c>
      <c r="C10" s="22" t="n">
        <f aca="false" t="array" ref="C10:C10">IFERROR(INDEX('Players &amp; Hdcp'!$B$5:$B$20,MATCH(B10,'Players &amp; Hdcp'!$A$5:$A$20,0)),"")</f>
        <v>25</v>
      </c>
      <c r="D10" s="10" t="n">
        <f aca="false" t="array" ref="D10:D10">IFERROR(INDEX('Players &amp; Hdcp'!$D$5:$D$20,MATCH(B10,'Players &amp; Hdcp'!$A$5:$A$20,0)),"")</f>
        <v>23</v>
      </c>
      <c r="E10" s="10" t="str">
        <f aca="false">IF(COUNTIF(Scramble!$C$5:$D$6,B10)&gt;0,"Scramble","Individual")</f>
        <v>Individual</v>
      </c>
      <c r="N10" s="20" t="str">
        <f aca="false">IF(B10="","",IF(E10="Individual",A10&amp;"-"&amp;COUNTIFS($A$5:$A10,A10,$E$5:$E10,"Individual"),""))</f>
        <v>Ryobi-6</v>
      </c>
    </row>
    <row r="11" customFormat="false" ht="15" hidden="false" customHeight="true" outlineLevel="0" collapsed="false">
      <c r="A11" s="21" t="s">
        <v>52</v>
      </c>
      <c r="B11" s="9" t="s">
        <v>34</v>
      </c>
      <c r="C11" s="22" t="n">
        <f aca="false" t="array" ref="C11:C11">IFERROR(INDEX('Players &amp; Hdcp'!$B$5:$B$20,MATCH(B11,'Players &amp; Hdcp'!$A$5:$A$20,0)),"")</f>
        <v>25</v>
      </c>
      <c r="D11" s="10" t="n">
        <f aca="false" t="array" ref="D11:D11">IFERROR(INDEX('Players &amp; Hdcp'!$D$5:$D$20,MATCH(B11,'Players &amp; Hdcp'!$A$5:$A$20,0)),"")</f>
        <v>23</v>
      </c>
      <c r="E11" s="10" t="str">
        <f aca="false">IF(COUNTIF(Scramble!$C$5:$D$6,B11)&gt;0,"Scramble","Individual")</f>
        <v>Scramble</v>
      </c>
      <c r="N11" s="20" t="str">
        <f aca="false">IF(B11="","",IF(E11="Individual",A11&amp;"-"&amp;COUNTIFS($A$5:$A11,A11,$E$5:$E11,"Individual"),""))</f>
        <v/>
      </c>
    </row>
    <row r="12" customFormat="false" ht="15" hidden="false" customHeight="true" outlineLevel="0" collapsed="false">
      <c r="A12" s="21" t="s">
        <v>52</v>
      </c>
      <c r="B12" s="9" t="s">
        <v>42</v>
      </c>
      <c r="C12" s="22" t="n">
        <f aca="false" t="array" ref="C12:C12">IFERROR(INDEX('Players &amp; Hdcp'!$B$5:$B$20,MATCH(B12,'Players &amp; Hdcp'!$A$5:$A$20,0)),"")</f>
        <v>25</v>
      </c>
      <c r="D12" s="10" t="n">
        <f aca="false" t="array" ref="D12:D12">IFERROR(INDEX('Players &amp; Hdcp'!$D$5:$D$20,MATCH(B12,'Players &amp; Hdcp'!$A$5:$A$20,0)),"")</f>
        <v>23</v>
      </c>
      <c r="E12" s="10" t="str">
        <f aca="false">IF(COUNTIF(Scramble!$C$5:$D$6,B12)&gt;0,"Scramble","Individual")</f>
        <v>Scramble</v>
      </c>
      <c r="N12" s="20" t="str">
        <f aca="false">IF(B12="","",IF(E12="Individual",A12&amp;"-"&amp;COUNTIFS($A$5:$A12,A12,$E$5:$E12,"Individual"),""))</f>
        <v/>
      </c>
    </row>
    <row r="13" customFormat="false" ht="15" hidden="false" customHeight="true" outlineLevel="0" collapsed="false">
      <c r="A13" s="23" t="s">
        <v>53</v>
      </c>
      <c r="B13" s="9" t="s">
        <v>15</v>
      </c>
      <c r="C13" s="22" t="n">
        <f aca="false" t="array" ref="C13:C13">IFERROR(INDEX('Players &amp; Hdcp'!$B$5:$B$20,MATCH(B13,'Players &amp; Hdcp'!$A$5:$A$20,0)),"")</f>
        <v>7.5</v>
      </c>
      <c r="D13" s="10" t="n">
        <f aca="false" t="array" ref="D13:D13">IFERROR(INDEX('Players &amp; Hdcp'!$D$5:$D$20,MATCH(B13,'Players &amp; Hdcp'!$A$5:$A$20,0)),"")</f>
        <v>7</v>
      </c>
      <c r="E13" s="10" t="str">
        <f aca="false">IF(COUNTIF(Scramble!$C$5:$D$6,B13)&gt;0,"Scramble","Individual")</f>
        <v>Individual</v>
      </c>
      <c r="N13" s="20" t="str">
        <f aca="false">IF(B13="","",IF(E13="Individual",A13&amp;"-"&amp;COUNTIFS($A$5:$A13,A13,$E$5:$E13,"Individual"),""))</f>
        <v>Black &amp; Decker-1</v>
      </c>
    </row>
    <row r="14" customFormat="false" ht="15" hidden="false" customHeight="true" outlineLevel="0" collapsed="false">
      <c r="A14" s="23" t="s">
        <v>53</v>
      </c>
      <c r="B14" s="9" t="s">
        <v>17</v>
      </c>
      <c r="C14" s="22" t="n">
        <f aca="false" t="array" ref="C14:C14">IFERROR(INDEX('Players &amp; Hdcp'!$B$5:$B$20,MATCH(B14,'Players &amp; Hdcp'!$A$5:$A$20,0)),"")</f>
        <v>10.6</v>
      </c>
      <c r="D14" s="10" t="n">
        <f aca="false" t="array" ref="D14:D14">IFERROR(INDEX('Players &amp; Hdcp'!$D$5:$D$20,MATCH(B14,'Players &amp; Hdcp'!$A$5:$A$20,0)),"")</f>
        <v>10</v>
      </c>
      <c r="E14" s="10" t="str">
        <f aca="false">IF(COUNTIF(Scramble!$C$5:$D$6,B14)&gt;0,"Scramble","Individual")</f>
        <v>Individual</v>
      </c>
      <c r="N14" s="20" t="str">
        <f aca="false">IF(B14="","",IF(E14="Individual",A14&amp;"-"&amp;COUNTIFS($A$5:$A14,A14,$E$5:$E14,"Individual"),""))</f>
        <v>Black &amp; Decker-2</v>
      </c>
    </row>
    <row r="15" customFormat="false" ht="15" hidden="false" customHeight="true" outlineLevel="0" collapsed="false">
      <c r="A15" s="23" t="s">
        <v>53</v>
      </c>
      <c r="B15" s="9" t="s">
        <v>23</v>
      </c>
      <c r="C15" s="22" t="n">
        <f aca="false" t="array" ref="C15:C15">IFERROR(INDEX('Players &amp; Hdcp'!$B$5:$B$20,MATCH(B15,'Players &amp; Hdcp'!$A$5:$A$20,0)),"")</f>
        <v>13.6</v>
      </c>
      <c r="D15" s="10" t="n">
        <f aca="false" t="array" ref="D15:D15">IFERROR(INDEX('Players &amp; Hdcp'!$D$5:$D$20,MATCH(B15,'Players &amp; Hdcp'!$A$5:$A$20,0)),"")</f>
        <v>12</v>
      </c>
      <c r="E15" s="10" t="str">
        <f aca="false">IF(COUNTIF(Scramble!$C$5:$D$6,B15)&gt;0,"Scramble","Individual")</f>
        <v>Individual</v>
      </c>
      <c r="N15" s="20" t="str">
        <f aca="false">IF(B15="","",IF(E15="Individual",A15&amp;"-"&amp;COUNTIFS($A$5:$A15,A15,$E$5:$E15,"Individual"),""))</f>
        <v>Black &amp; Decker-3</v>
      </c>
    </row>
    <row r="16" customFormat="false" ht="15" hidden="false" customHeight="true" outlineLevel="0" collapsed="false">
      <c r="A16" s="23" t="s">
        <v>53</v>
      </c>
      <c r="B16" s="9" t="s">
        <v>21</v>
      </c>
      <c r="C16" s="22" t="n">
        <f aca="false" t="array" ref="C16:C16">IFERROR(INDEX('Players &amp; Hdcp'!$B$5:$B$20,MATCH(B16,'Players &amp; Hdcp'!$A$5:$A$20,0)),"")</f>
        <v>13.4</v>
      </c>
      <c r="D16" s="10" t="n">
        <f aca="false" t="array" ref="D16:D16">IFERROR(INDEX('Players &amp; Hdcp'!$D$5:$D$20,MATCH(B16,'Players &amp; Hdcp'!$A$5:$A$20,0)),"")</f>
        <v>12</v>
      </c>
      <c r="E16" s="10" t="str">
        <f aca="false">IF(COUNTIF(Scramble!$C$5:$D$6,B16)&gt;0,"Scramble","Individual")</f>
        <v>Individual</v>
      </c>
      <c r="N16" s="20" t="str">
        <f aca="false">IF(B16="","",IF(E16="Individual",A16&amp;"-"&amp;COUNTIFS($A$5:$A16,A16,$E$5:$E16,"Individual"),""))</f>
        <v>Black &amp; Decker-4</v>
      </c>
    </row>
    <row r="17" customFormat="false" ht="15" hidden="false" customHeight="true" outlineLevel="0" collapsed="false">
      <c r="A17" s="23" t="s">
        <v>53</v>
      </c>
      <c r="B17" s="9" t="s">
        <v>31</v>
      </c>
      <c r="C17" s="22" t="n">
        <f aca="false" t="array" ref="C17:C17">IFERROR(INDEX('Players &amp; Hdcp'!$B$5:$B$20,MATCH(B17,'Players &amp; Hdcp'!$A$5:$A$20,0)),"")</f>
        <v>19</v>
      </c>
      <c r="D17" s="10" t="n">
        <f aca="false" t="array" ref="D17:D17">IFERROR(INDEX('Players &amp; Hdcp'!$D$5:$D$20,MATCH(B17,'Players &amp; Hdcp'!$A$5:$A$20,0)),"")</f>
        <v>17</v>
      </c>
      <c r="E17" s="10" t="str">
        <f aca="false">IF(COUNTIF(Scramble!$C$5:$D$6,B17)&gt;0,"Scramble","Individual")</f>
        <v>Individual</v>
      </c>
      <c r="N17" s="20" t="str">
        <f aca="false">IF(B17="","",IF(E17="Individual",A17&amp;"-"&amp;COUNTIFS($A$5:$A17,A17,$E$5:$E17,"Individual"),""))</f>
        <v>Black &amp; Decker-5</v>
      </c>
    </row>
    <row r="18" customFormat="false" ht="15" hidden="false" customHeight="true" outlineLevel="0" collapsed="false">
      <c r="A18" s="23" t="s">
        <v>53</v>
      </c>
      <c r="B18" s="9" t="s">
        <v>33</v>
      </c>
      <c r="C18" s="22" t="n">
        <f aca="false" t="array" ref="C18:C18">IFERROR(INDEX('Players &amp; Hdcp'!$B$5:$B$20,MATCH(B18,'Players &amp; Hdcp'!$A$5:$A$20,0)),"")</f>
        <v>23</v>
      </c>
      <c r="D18" s="10" t="n">
        <f aca="false" t="array" ref="D18:D18">IFERROR(INDEX('Players &amp; Hdcp'!$D$5:$D$20,MATCH(B18,'Players &amp; Hdcp'!$A$5:$A$20,0)),"")</f>
        <v>21</v>
      </c>
      <c r="E18" s="10" t="str">
        <f aca="false">IF(COUNTIF(Scramble!$C$5:$D$6,B18)&gt;0,"Scramble","Individual")</f>
        <v>Individual</v>
      </c>
      <c r="N18" s="20" t="str">
        <f aca="false">IF(B18="","",IF(E18="Individual",A18&amp;"-"&amp;COUNTIFS($A$5:$A18,A18,$E$5:$E18,"Individual"),""))</f>
        <v>Black &amp; Decker-6</v>
      </c>
    </row>
    <row r="19" customFormat="false" ht="15" hidden="false" customHeight="true" outlineLevel="0" collapsed="false">
      <c r="A19" s="23" t="s">
        <v>53</v>
      </c>
      <c r="B19" s="9" t="s">
        <v>37</v>
      </c>
      <c r="C19" s="22" t="n">
        <f aca="false" t="array" ref="C19:C19">IFERROR(INDEX('Players &amp; Hdcp'!$B$5:$B$20,MATCH(B19,'Players &amp; Hdcp'!$A$5:$A$20,0)),"")</f>
        <v>25</v>
      </c>
      <c r="D19" s="10" t="n">
        <f aca="false" t="array" ref="D19:D19">IFERROR(INDEX('Players &amp; Hdcp'!$D$5:$D$20,MATCH(B19,'Players &amp; Hdcp'!$A$5:$A$20,0)),"")</f>
        <v>23</v>
      </c>
      <c r="E19" s="10" t="str">
        <f aca="false">IF(COUNTIF(Scramble!$C$5:$D$6,B19)&gt;0,"Scramble","Individual")</f>
        <v>Scramble</v>
      </c>
      <c r="N19" s="20" t="str">
        <f aca="false">IF(B19="","",IF(E19="Individual",A19&amp;"-"&amp;COUNTIFS($A$5:$A19,A19,$E$5:$E19,"Individual"),""))</f>
        <v/>
      </c>
    </row>
    <row r="20" customFormat="false" ht="15" hidden="false" customHeight="true" outlineLevel="0" collapsed="false">
      <c r="A20" s="23" t="s">
        <v>53</v>
      </c>
      <c r="B20" s="9" t="s">
        <v>39</v>
      </c>
      <c r="C20" s="22" t="n">
        <f aca="false" t="array" ref="C20:C20">IFERROR(INDEX('Players &amp; Hdcp'!$B$5:$B$20,MATCH(B20,'Players &amp; Hdcp'!$A$5:$A$20,0)),"")</f>
        <v>25</v>
      </c>
      <c r="D20" s="10" t="n">
        <f aca="false" t="array" ref="D20:D20">IFERROR(INDEX('Players &amp; Hdcp'!$D$5:$D$20,MATCH(B20,'Players &amp; Hdcp'!$A$5:$A$20,0)),"")</f>
        <v>23</v>
      </c>
      <c r="E20" s="10" t="str">
        <f aca="false">IF(COUNTIF(Scramble!$C$5:$D$6,B20)&gt;0,"Scramble","Individual")</f>
        <v>Scramble</v>
      </c>
      <c r="N20" s="20" t="str">
        <f aca="false">IF(B20="","",IF(E20="Individual",A20&amp;"-"&amp;COUNTIFS($A$5:$A20,A20,$E$5:$E20,"Individual"),""))</f>
        <v/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L8">
    <cfRule type="cellIs" priority="2" operator="between" aboveAverage="0" equalAverage="0" bottom="0" percent="0" rank="0" text="" dxfId="1">
      <formula>-2</formula>
      <formula>2</formula>
    </cfRule>
    <cfRule type="cellIs" priority="3" operator="notBetween" aboveAverage="0" equalAverage="0" bottom="0" percent="0" rank="0" text="" dxfId="0">
      <formula>-2</formula>
      <formula>2</formula>
    </cfRule>
  </conditionalFormatting>
  <dataValidations count="1">
    <dataValidation allowBlank="true" errorStyle="stop" operator="between" showDropDown="false" showErrorMessage="false" showInputMessage="false" sqref="B5:B20" type="list">
      <formula1>PlayerList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6"/>
    <col collapsed="false" customWidth="true" hidden="false" outlineLevel="0" max="8" min="8" style="1" width="52"/>
    <col collapsed="false" customWidth="true" hidden="false" outlineLevel="0" max="26" min="9" style="1" width="9"/>
  </cols>
  <sheetData>
    <row r="1" customFormat="false" ht="17.25" hidden="false" customHeight="true" outlineLevel="0" collapsed="false">
      <c r="A1" s="2" t="s">
        <v>56</v>
      </c>
    </row>
    <row r="2" customFormat="false" ht="15" hidden="false" customHeight="true" outlineLevel="0" collapsed="false">
      <c r="A2" s="3" t="s">
        <v>57</v>
      </c>
    </row>
    <row r="4" customFormat="false" ht="26.25" hidden="false" customHeight="true" outlineLevel="0" collapsed="false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7</v>
      </c>
      <c r="G4" s="4" t="s">
        <v>63</v>
      </c>
      <c r="H4" s="4" t="s">
        <v>64</v>
      </c>
      <c r="I4" s="19" t="s">
        <v>65</v>
      </c>
      <c r="J4" s="4" t="s">
        <v>66</v>
      </c>
    </row>
    <row r="5" customFormat="false" ht="15" hidden="false" customHeight="true" outlineLevel="0" collapsed="false">
      <c r="A5" s="25" t="n">
        <v>1</v>
      </c>
      <c r="B5" s="26" t="s">
        <v>67</v>
      </c>
      <c r="C5" s="9" t="s">
        <v>34</v>
      </c>
      <c r="D5" s="9" t="s">
        <v>42</v>
      </c>
      <c r="E5" s="10" t="str">
        <f aca="false" t="array" ref="E5:E5">IFERROR(INDEX('Players &amp; Hdcp'!$D$5:$D$20,MATCH(C5,'Players &amp; Hdcp'!$A$5:$A$20,0)),0)&amp;" / "&amp;IFERROR(INDEX('Players &amp; Hdcp'!$D$5:$D$20,MATCH(D5,'Players &amp; Hdcp'!$A$5:$A$20,0)),0)</f>
        <v>23 / 23</v>
      </c>
      <c r="F5" s="21" t="s">
        <v>52</v>
      </c>
      <c r="G5" s="10" t="n">
        <f aca="false">'Players &amp; Hdcp'!$L$12</f>
        <v>12</v>
      </c>
      <c r="H5" s="27" t="s">
        <v>68</v>
      </c>
      <c r="I5" s="28" t="s">
        <v>69</v>
      </c>
      <c r="J5" s="29" t="n">
        <f aca="false">ROUND('Players &amp; Hdcp'!$L$7*MIN(IFERROR(INDEX('Players &amp; Hdcp'!$D$5:$D$20,MATCH(C5,'Players &amp; Hdcp'!$A$5:$A$20,0)),0),IFERROR(INDEX('Players &amp; Hdcp'!$D$5:$D$20,MATCH(D5,'Players &amp; Hdcp'!$A$5:$A$20,0)),0))+'Players &amp; Hdcp'!$L$8*MAX(IFERROR(INDEX('Players &amp; Hdcp'!$D$5:$D$20,MATCH(C5,'Players &amp; Hdcp'!$A$5:$A$20,0)),0),IFERROR(INDEX('Players &amp; Hdcp'!$D$5:$D$20,MATCH(D5,'Players &amp; Hdcp'!$A$5:$A$20,0)),0))+0.000001,0)+'Players &amp; Hdcp'!$L$11</f>
        <v>9</v>
      </c>
    </row>
    <row r="6" customFormat="false" ht="15" hidden="false" customHeight="true" outlineLevel="0" collapsed="false">
      <c r="A6" s="25" t="n">
        <v>2</v>
      </c>
      <c r="B6" s="26" t="s">
        <v>70</v>
      </c>
      <c r="C6" s="9" t="s">
        <v>39</v>
      </c>
      <c r="D6" s="9" t="s">
        <v>37</v>
      </c>
      <c r="E6" s="10" t="str">
        <f aca="false" t="array" ref="E6:E6">IFERROR(INDEX('Players &amp; Hdcp'!$D$5:$D$20,MATCH(C6,'Players &amp; Hdcp'!$A$5:$A$20,0)),0)&amp;" / "&amp;IFERROR(INDEX('Players &amp; Hdcp'!$D$5:$D$20,MATCH(D6,'Players &amp; Hdcp'!$A$5:$A$20,0)),0)</f>
        <v>23 / 23</v>
      </c>
      <c r="F6" s="23" t="s">
        <v>53</v>
      </c>
      <c r="G6" s="10" t="n">
        <f aca="false">'Players &amp; Hdcp'!$L$12</f>
        <v>12</v>
      </c>
      <c r="H6" s="27" t="s">
        <v>68</v>
      </c>
      <c r="I6" s="28" t="s">
        <v>69</v>
      </c>
      <c r="J6" s="29" t="n">
        <f aca="false">ROUND('Players &amp; Hdcp'!$L$7*MIN(IFERROR(INDEX('Players &amp; Hdcp'!$D$5:$D$20,MATCH(C6,'Players &amp; Hdcp'!$A$5:$A$20,0)),0),IFERROR(INDEX('Players &amp; Hdcp'!$D$5:$D$20,MATCH(D6,'Players &amp; Hdcp'!$A$5:$A$20,0)),0))+'Players &amp; Hdcp'!$L$8*MAX(IFERROR(INDEX('Players &amp; Hdcp'!$D$5:$D$20,MATCH(C6,'Players &amp; Hdcp'!$A$5:$A$20,0)),0),IFERROR(INDEX('Players &amp; Hdcp'!$D$5:$D$20,MATCH(D6,'Players &amp; Hdcp'!$A$5:$A$20,0)),0))+0.000001,0)+'Players &amp; Hdcp'!$L$11</f>
        <v>9</v>
      </c>
    </row>
    <row r="9" customFormat="false" ht="15" hidden="false" customHeight="true" outlineLevel="0" collapsed="false">
      <c r="A9" s="18" t="s">
        <v>71</v>
      </c>
    </row>
    <row r="10" customFormat="false" ht="15" hidden="false" customHeight="true" outlineLevel="0" collapsed="false">
      <c r="A10" s="17" t="s">
        <v>72</v>
      </c>
    </row>
    <row r="11" customFormat="false" ht="15" hidden="false" customHeight="true" outlineLevel="0" collapsed="false">
      <c r="A11" s="17" t="s">
        <v>73</v>
      </c>
    </row>
    <row r="12" customFormat="false" ht="15" hidden="false" customHeight="true" outlineLevel="0" collapsed="false">
      <c r="A12" s="17" t="s">
        <v>74</v>
      </c>
    </row>
    <row r="13" customFormat="false" ht="15" hidden="false" customHeight="true" outlineLevel="0" collapsed="false">
      <c r="A13" s="17" t="s">
        <v>75</v>
      </c>
    </row>
    <row r="15" customFormat="false" ht="15" hidden="false" customHeight="true" outlineLevel="0" collapsed="false">
      <c r="A15" s="30" t="s">
        <v>76</v>
      </c>
    </row>
    <row r="16" customFormat="false" ht="15" hidden="false" customHeight="true" outlineLevel="0" collapsed="false">
      <c r="A16" s="31" t="s">
        <v>77</v>
      </c>
    </row>
    <row r="17" customFormat="false" ht="15" hidden="false" customHeight="true" outlineLevel="0" collapsed="false">
      <c r="A17" s="31" t="s">
        <v>78</v>
      </c>
    </row>
    <row r="18" customFormat="false" ht="15" hidden="false" customHeight="true" outlineLevel="0" collapsed="false">
      <c r="A18" s="31" t="s">
        <v>79</v>
      </c>
    </row>
    <row r="20" customFormat="false" ht="15" hidden="false" customHeight="true" outlineLevel="0" collapsed="false">
      <c r="A20" s="30" t="s">
        <v>80</v>
      </c>
    </row>
    <row r="21" customFormat="false" ht="15.75" hidden="false" customHeight="true" outlineLevel="0" collapsed="false">
      <c r="A21" s="31" t="s">
        <v>81</v>
      </c>
    </row>
    <row r="22" customFormat="false" ht="15.75" hidden="false" customHeight="true" outlineLevel="0" collapsed="false">
      <c r="A22" s="31" t="s">
        <v>82</v>
      </c>
    </row>
    <row r="23" customFormat="false" ht="15.75" hidden="false" customHeight="true" outlineLevel="0" collapsed="false">
      <c r="A23" s="31" t="s">
        <v>83</v>
      </c>
    </row>
    <row r="24" customFormat="false" ht="15.75" hidden="false" customHeight="true" outlineLevel="0" collapsed="false">
      <c r="A24" s="31" t="s">
        <v>84</v>
      </c>
    </row>
    <row r="25" customFormat="false" ht="15.75" hidden="false" customHeight="true" outlineLevel="0" collapsed="false">
      <c r="A25" s="31" t="s">
        <v>85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false" showInputMessage="false" sqref="C5:D6" type="list">
      <formula1>PlayerList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4" min="4" style="1" width="4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13"/>
    <col collapsed="false" customWidth="true" hidden="false" outlineLevel="0" max="9" min="9" style="1" width="16"/>
    <col collapsed="false" customWidth="true" hidden="false" outlineLevel="0" max="11" min="10" style="1" width="14"/>
    <col collapsed="false" customWidth="true" hidden="true" outlineLevel="0" max="26" min="12" style="1" width="11"/>
  </cols>
  <sheetData>
    <row r="1" customFormat="false" ht="17.2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4" customFormat="false" ht="26.25" hidden="false" customHeight="true" outlineLevel="0" collapsed="false">
      <c r="A4" s="4" t="s">
        <v>9</v>
      </c>
      <c r="B4" s="4" t="s">
        <v>88</v>
      </c>
      <c r="C4" s="4" t="s">
        <v>89</v>
      </c>
      <c r="D4" s="4" t="s">
        <v>90</v>
      </c>
      <c r="E4" s="4" t="s">
        <v>53</v>
      </c>
      <c r="F4" s="4" t="s">
        <v>89</v>
      </c>
      <c r="G4" s="4" t="s">
        <v>91</v>
      </c>
      <c r="H4" s="4" t="s">
        <v>92</v>
      </c>
      <c r="I4" s="4" t="s">
        <v>93</v>
      </c>
      <c r="J4" s="4" t="s">
        <v>94</v>
      </c>
      <c r="K4" s="4" t="s">
        <v>95</v>
      </c>
      <c r="L4" s="4" t="s">
        <v>96</v>
      </c>
      <c r="M4" s="4" t="s">
        <v>97</v>
      </c>
      <c r="N4" s="4" t="s">
        <v>98</v>
      </c>
    </row>
    <row r="5" customFormat="false" ht="15" hidden="false" customHeight="true" outlineLevel="0" collapsed="false">
      <c r="A5" s="25" t="n">
        <v>1</v>
      </c>
      <c r="B5" s="32" t="s">
        <v>12</v>
      </c>
      <c r="C5" s="10" t="n">
        <f aca="false" t="array" ref="C5:C5">IFERROR(INDEX('Players &amp; Hdcp'!$D$5:$D$20,MATCH(B5,'Players &amp; Hdcp'!$A$5:$A$20,0)),IFERROR(INDEX(Scramble!$G$5:$G$6,MATCH(B5,Scramble!$B$5:$B$6,0)),""))</f>
        <v>3</v>
      </c>
      <c r="D5" s="33" t="s">
        <v>90</v>
      </c>
      <c r="E5" s="34" t="s">
        <v>15</v>
      </c>
      <c r="F5" s="10" t="n">
        <f aca="false" t="array" ref="F5:F5">IFERROR(INDEX('Players &amp; Hdcp'!$D$5:$D$20,MATCH(E5,'Players &amp; Hdcp'!$A$5:$A$20,0)),IFERROR(INDEX(Scramble!$G$5:$G$6,MATCH(E5,Scramble!$B$5:$B$6,0)),""))</f>
        <v>7</v>
      </c>
      <c r="G5" s="10" t="n">
        <f aca="false">IFERROR(ABS(C5-F5),"")</f>
        <v>4</v>
      </c>
      <c r="H5" s="10" t="str">
        <f aca="false">IF(C5=F5,"— none —",IF(C5&gt;F5,B5,E5))</f>
        <v>Joe</v>
      </c>
      <c r="I5" s="7" t="s">
        <v>99</v>
      </c>
      <c r="J5" s="35"/>
      <c r="K5" s="35"/>
      <c r="L5" s="10" t="str">
        <f aca="false">IFERROR(INDEX('Cart Pairings'!$J$5:$J$12,MATCH(IF(COUNTIF(Scramble!$B$5:$B$6,B5)&gt;0,INDEX(Scramble!$C$5:$C$6,MATCH(B5,Scramble!$B$5:$B$6,0)),B5),'Cart Pairings'!$B$5:$B$12,0)),IFERROR(INDEX('Cart Pairings'!$J$5:$J$12,MATCH(IF(COUNTIF(Scramble!$B$5:$B$6,B5)&gt;0,INDEX(Scramble!$C$5:$C$6,MATCH(B5,Scramble!$B$5:$B$6,0)),B5),'Cart Pairings'!$C$5:$C$12,0)),"?"))</f>
        <v>A</v>
      </c>
      <c r="M5" s="10" t="str">
        <f aca="false">IFERROR(INDEX('Cart Pairings'!$J$5:$J$12,MATCH(IF(COUNTIF(Scramble!$B$5:$B$6,E5)&gt;0,INDEX(Scramble!$C$5:$C$6,MATCH(E5,Scramble!$B$5:$B$6,0)),E5),'Cart Pairings'!$B$5:$B$12,0)),IFERROR(INDEX('Cart Pairings'!$J$5:$J$12,MATCH(IF(COUNTIF(Scramble!$B$5:$B$6,E5)&gt;0,INDEX(Scramble!$C$5:$C$6,MATCH(E5,Scramble!$B$5:$B$6,0)),E5),'Cart Pairings'!$C$5:$C$12,0)),"?"))</f>
        <v>A</v>
      </c>
      <c r="N5" s="11" t="str">
        <f aca="false">IF(L5=M5,"together","SPLIT")</f>
        <v>together</v>
      </c>
    </row>
    <row r="6" customFormat="false" ht="15" hidden="false" customHeight="true" outlineLevel="0" collapsed="false">
      <c r="A6" s="25" t="n">
        <v>2</v>
      </c>
      <c r="B6" s="32" t="s">
        <v>19</v>
      </c>
      <c r="C6" s="10" t="n">
        <f aca="false" t="array" ref="C6:C6">IFERROR(INDEX('Players &amp; Hdcp'!$D$5:$D$20,MATCH(B6,'Players &amp; Hdcp'!$A$5:$A$20,0)),IFERROR(INDEX(Scramble!$G$5:$G$6,MATCH(B6,Scramble!$B$5:$B$6,0)),""))</f>
        <v>10</v>
      </c>
      <c r="D6" s="33" t="s">
        <v>90</v>
      </c>
      <c r="E6" s="34" t="s">
        <v>17</v>
      </c>
      <c r="F6" s="10" t="n">
        <f aca="false" t="array" ref="F6:F6">IFERROR(INDEX('Players &amp; Hdcp'!$D$5:$D$20,MATCH(E6,'Players &amp; Hdcp'!$A$5:$A$20,0)),IFERROR(INDEX(Scramble!$G$5:$G$6,MATCH(E6,Scramble!$B$5:$B$6,0)),""))</f>
        <v>10</v>
      </c>
      <c r="G6" s="10" t="n">
        <f aca="false">IFERROR(ABS(C6-F6),"")</f>
        <v>0</v>
      </c>
      <c r="H6" s="10" t="str">
        <f aca="false">IF(C6=F6,"— none —",IF(C6&gt;F6,B6,E6))</f>
        <v>— none —</v>
      </c>
      <c r="I6" s="7" t="s">
        <v>99</v>
      </c>
      <c r="J6" s="35"/>
      <c r="K6" s="35"/>
      <c r="L6" s="10" t="str">
        <f aca="false">IFERROR(INDEX('Cart Pairings'!$J$5:$J$12,MATCH(IF(COUNTIF(Scramble!$B$5:$B$6,B6)&gt;0,INDEX(Scramble!$C$5:$C$6,MATCH(B6,Scramble!$B$5:$B$6,0)),B6),'Cart Pairings'!$B$5:$B$12,0)),IFERROR(INDEX('Cart Pairings'!$J$5:$J$12,MATCH(IF(COUNTIF(Scramble!$B$5:$B$6,B6)&gt;0,INDEX(Scramble!$C$5:$C$6,MATCH(B6,Scramble!$B$5:$B$6,0)),B6),'Cart Pairings'!$C$5:$C$12,0)),"?"))</f>
        <v>A</v>
      </c>
      <c r="M6" s="10" t="str">
        <f aca="false">IFERROR(INDEX('Cart Pairings'!$J$5:$J$12,MATCH(IF(COUNTIF(Scramble!$B$5:$B$6,E6)&gt;0,INDEX(Scramble!$C$5:$C$6,MATCH(E6,Scramble!$B$5:$B$6,0)),E6),'Cart Pairings'!$B$5:$B$12,0)),IFERROR(INDEX('Cart Pairings'!$J$5:$J$12,MATCH(IF(COUNTIF(Scramble!$B$5:$B$6,E6)&gt;0,INDEX(Scramble!$C$5:$C$6,MATCH(E6,Scramble!$B$5:$B$6,0)),E6),'Cart Pairings'!$C$5:$C$12,0)),"?"))</f>
        <v>A</v>
      </c>
      <c r="N6" s="11" t="str">
        <f aca="false">IF(L6=M6,"together","SPLIT")</f>
        <v>together</v>
      </c>
    </row>
    <row r="7" customFormat="false" ht="15" hidden="false" customHeight="true" outlineLevel="0" collapsed="false">
      <c r="A7" s="25" t="n">
        <v>3</v>
      </c>
      <c r="B7" s="32" t="s">
        <v>25</v>
      </c>
      <c r="C7" s="10" t="n">
        <f aca="false" t="array" ref="C7:C7">IFERROR(INDEX('Players &amp; Hdcp'!$D$5:$D$20,MATCH(B7,'Players &amp; Hdcp'!$A$5:$A$20,0)),IFERROR(INDEX(Scramble!$G$5:$G$6,MATCH(B7,Scramble!$B$5:$B$6,0)),""))</f>
        <v>13</v>
      </c>
      <c r="D7" s="33" t="s">
        <v>90</v>
      </c>
      <c r="E7" s="34" t="s">
        <v>23</v>
      </c>
      <c r="F7" s="10" t="n">
        <f aca="false" t="array" ref="F7:F7">IFERROR(INDEX('Players &amp; Hdcp'!$D$5:$D$20,MATCH(E7,'Players &amp; Hdcp'!$A$5:$A$20,0)),IFERROR(INDEX(Scramble!$G$5:$G$6,MATCH(E7,Scramble!$B$5:$B$6,0)),""))</f>
        <v>12</v>
      </c>
      <c r="G7" s="10" t="n">
        <f aca="false">IFERROR(ABS(C7-F7),"")</f>
        <v>1</v>
      </c>
      <c r="H7" s="10" t="str">
        <f aca="false">IF(C7=F7,"— none —",IF(C7&gt;F7,B7,E7))</f>
        <v>Neels</v>
      </c>
      <c r="I7" s="7" t="s">
        <v>99</v>
      </c>
      <c r="J7" s="35"/>
      <c r="K7" s="35"/>
      <c r="L7" s="10" t="str">
        <f aca="false">IFERROR(INDEX('Cart Pairings'!$J$5:$J$12,MATCH(IF(COUNTIF(Scramble!$B$5:$B$6,B7)&gt;0,INDEX(Scramble!$C$5:$C$6,MATCH(B7,Scramble!$B$5:$B$6,0)),B7),'Cart Pairings'!$B$5:$B$12,0)),IFERROR(INDEX('Cart Pairings'!$J$5:$J$12,MATCH(IF(COUNTIF(Scramble!$B$5:$B$6,B7)&gt;0,INDEX(Scramble!$C$5:$C$6,MATCH(B7,Scramble!$B$5:$B$6,0)),B7),'Cart Pairings'!$C$5:$C$12,0)),"?"))</f>
        <v>B</v>
      </c>
      <c r="M7" s="10" t="str">
        <f aca="false">IFERROR(INDEX('Cart Pairings'!$J$5:$J$12,MATCH(IF(COUNTIF(Scramble!$B$5:$B$6,E7)&gt;0,INDEX(Scramble!$C$5:$C$6,MATCH(E7,Scramble!$B$5:$B$6,0)),E7),'Cart Pairings'!$B$5:$B$12,0)),IFERROR(INDEX('Cart Pairings'!$J$5:$J$12,MATCH(IF(COUNTIF(Scramble!$B$5:$B$6,E7)&gt;0,INDEX(Scramble!$C$5:$C$6,MATCH(E7,Scramble!$B$5:$B$6,0)),E7),'Cart Pairings'!$C$5:$C$12,0)),"?"))</f>
        <v>B</v>
      </c>
      <c r="N7" s="11" t="str">
        <f aca="false">IF(L7=M7,"together","SPLIT")</f>
        <v>together</v>
      </c>
    </row>
    <row r="8" customFormat="false" ht="15" hidden="false" customHeight="true" outlineLevel="0" collapsed="false">
      <c r="A8" s="25" t="n">
        <v>4</v>
      </c>
      <c r="B8" s="32" t="s">
        <v>27</v>
      </c>
      <c r="C8" s="10" t="n">
        <f aca="false" t="array" ref="C8:C8">IFERROR(INDEX('Players &amp; Hdcp'!$D$5:$D$20,MATCH(B8,'Players &amp; Hdcp'!$A$5:$A$20,0)),IFERROR(INDEX(Scramble!$G$5:$G$6,MATCH(B8,Scramble!$B$5:$B$6,0)),""))</f>
        <v>13</v>
      </c>
      <c r="D8" s="33" t="s">
        <v>90</v>
      </c>
      <c r="E8" s="34" t="s">
        <v>21</v>
      </c>
      <c r="F8" s="10" t="n">
        <f aca="false" t="array" ref="F8:F8">IFERROR(INDEX('Players &amp; Hdcp'!$D$5:$D$20,MATCH(E8,'Players &amp; Hdcp'!$A$5:$A$20,0)),IFERROR(INDEX(Scramble!$G$5:$G$6,MATCH(E8,Scramble!$B$5:$B$6,0)),""))</f>
        <v>12</v>
      </c>
      <c r="G8" s="10" t="n">
        <f aca="false">IFERROR(ABS(C8-F8),"")</f>
        <v>1</v>
      </c>
      <c r="H8" s="10" t="str">
        <f aca="false">IF(C8=F8,"— none —",IF(C8&gt;F8,B8,E8))</f>
        <v>Pat</v>
      </c>
      <c r="I8" s="7" t="s">
        <v>99</v>
      </c>
      <c r="J8" s="35"/>
      <c r="K8" s="35"/>
      <c r="L8" s="10" t="str">
        <f aca="false">IFERROR(INDEX('Cart Pairings'!$J$5:$J$12,MATCH(IF(COUNTIF(Scramble!$B$5:$B$6,B8)&gt;0,INDEX(Scramble!$C$5:$C$6,MATCH(B8,Scramble!$B$5:$B$6,0)),B8),'Cart Pairings'!$B$5:$B$12,0)),IFERROR(INDEX('Cart Pairings'!$J$5:$J$12,MATCH(IF(COUNTIF(Scramble!$B$5:$B$6,B8)&gt;0,INDEX(Scramble!$C$5:$C$6,MATCH(B8,Scramble!$B$5:$B$6,0)),B8),'Cart Pairings'!$C$5:$C$12,0)),"?"))</f>
        <v>C</v>
      </c>
      <c r="M8" s="10" t="str">
        <f aca="false">IFERROR(INDEX('Cart Pairings'!$J$5:$J$12,MATCH(IF(COUNTIF(Scramble!$B$5:$B$6,E8)&gt;0,INDEX(Scramble!$C$5:$C$6,MATCH(E8,Scramble!$B$5:$B$6,0)),E8),'Cart Pairings'!$B$5:$B$12,0)),IFERROR(INDEX('Cart Pairings'!$J$5:$J$12,MATCH(IF(COUNTIF(Scramble!$B$5:$B$6,E8)&gt;0,INDEX(Scramble!$C$5:$C$6,MATCH(E8,Scramble!$B$5:$B$6,0)),E8),'Cart Pairings'!$C$5:$C$12,0)),"?"))</f>
        <v>C</v>
      </c>
      <c r="N8" s="11" t="str">
        <f aca="false">IF(L8=M8,"together","SPLIT")</f>
        <v>together</v>
      </c>
    </row>
    <row r="9" customFormat="false" ht="15" hidden="false" customHeight="true" outlineLevel="0" collapsed="false">
      <c r="A9" s="25" t="n">
        <v>5</v>
      </c>
      <c r="B9" s="32" t="s">
        <v>29</v>
      </c>
      <c r="C9" s="10" t="n">
        <f aca="false" t="array" ref="C9:C9">IFERROR(INDEX('Players &amp; Hdcp'!$D$5:$D$20,MATCH(B9,'Players &amp; Hdcp'!$A$5:$A$20,0)),IFERROR(INDEX(Scramble!$G$5:$G$6,MATCH(B9,Scramble!$B$5:$B$6,0)),""))</f>
        <v>16</v>
      </c>
      <c r="D9" s="33" t="s">
        <v>90</v>
      </c>
      <c r="E9" s="34" t="s">
        <v>31</v>
      </c>
      <c r="F9" s="10" t="n">
        <f aca="false" t="array" ref="F9:F9">IFERROR(INDEX('Players &amp; Hdcp'!$D$5:$D$20,MATCH(E9,'Players &amp; Hdcp'!$A$5:$A$20,0)),IFERROR(INDEX(Scramble!$G$5:$G$6,MATCH(E9,Scramble!$B$5:$B$6,0)),""))</f>
        <v>17</v>
      </c>
      <c r="G9" s="10" t="n">
        <f aca="false">IFERROR(ABS(C9-F9),"")</f>
        <v>1</v>
      </c>
      <c r="H9" s="10" t="str">
        <f aca="false">IF(C9=F9,"— none —",IF(C9&gt;F9,B9,E9))</f>
        <v>Latex</v>
      </c>
      <c r="I9" s="7" t="s">
        <v>99</v>
      </c>
      <c r="J9" s="35"/>
      <c r="K9" s="35"/>
      <c r="L9" s="10" t="str">
        <f aca="false">IFERROR(INDEX('Cart Pairings'!$J$5:$J$12,MATCH(IF(COUNTIF(Scramble!$B$5:$B$6,B9)&gt;0,INDEX(Scramble!$C$5:$C$6,MATCH(B9,Scramble!$B$5:$B$6,0)),B9),'Cart Pairings'!$B$5:$B$12,0)),IFERROR(INDEX('Cart Pairings'!$J$5:$J$12,MATCH(IF(COUNTIF(Scramble!$B$5:$B$6,B9)&gt;0,INDEX(Scramble!$C$5:$C$6,MATCH(B9,Scramble!$B$5:$B$6,0)),B9),'Cart Pairings'!$C$5:$C$12,0)),"?"))</f>
        <v>B</v>
      </c>
      <c r="M9" s="10" t="str">
        <f aca="false">IFERROR(INDEX('Cart Pairings'!$J$5:$J$12,MATCH(IF(COUNTIF(Scramble!$B$5:$B$6,E9)&gt;0,INDEX(Scramble!$C$5:$C$6,MATCH(E9,Scramble!$B$5:$B$6,0)),E9),'Cart Pairings'!$B$5:$B$12,0)),IFERROR(INDEX('Cart Pairings'!$J$5:$J$12,MATCH(IF(COUNTIF(Scramble!$B$5:$B$6,E9)&gt;0,INDEX(Scramble!$C$5:$C$6,MATCH(E9,Scramble!$B$5:$B$6,0)),E9),'Cart Pairings'!$C$5:$C$12,0)),"?"))</f>
        <v>C</v>
      </c>
      <c r="N9" s="11" t="str">
        <f aca="false">IF(L9=M9,"together","SPLIT")</f>
        <v>SPLIT</v>
      </c>
    </row>
    <row r="10" customFormat="false" ht="15" hidden="false" customHeight="true" outlineLevel="0" collapsed="false">
      <c r="A10" s="25" t="n">
        <v>6</v>
      </c>
      <c r="B10" s="32" t="s">
        <v>41</v>
      </c>
      <c r="C10" s="10" t="n">
        <f aca="false" t="array" ref="C10:C10">IFERROR(INDEX('Players &amp; Hdcp'!$D$5:$D$20,MATCH(B10,'Players &amp; Hdcp'!$A$5:$A$20,0)),IFERROR(INDEX(Scramble!$G$5:$G$6,MATCH(B10,Scramble!$B$5:$B$6,0)),""))</f>
        <v>23</v>
      </c>
      <c r="D10" s="33" t="s">
        <v>90</v>
      </c>
      <c r="E10" s="34" t="s">
        <v>33</v>
      </c>
      <c r="F10" s="10" t="n">
        <f aca="false" t="array" ref="F10:F10">IFERROR(INDEX('Players &amp; Hdcp'!$D$5:$D$20,MATCH(E10,'Players &amp; Hdcp'!$A$5:$A$20,0)),IFERROR(INDEX(Scramble!$G$5:$G$6,MATCH(E10,Scramble!$B$5:$B$6,0)),""))</f>
        <v>21</v>
      </c>
      <c r="G10" s="10" t="n">
        <f aca="false">IFERROR(ABS(C10-F10),"")</f>
        <v>2</v>
      </c>
      <c r="H10" s="10" t="str">
        <f aca="false">IF(C10=F10,"— none —",IF(C10&gt;F10,B10,E10))</f>
        <v>Landon</v>
      </c>
      <c r="I10" s="7" t="s">
        <v>99</v>
      </c>
      <c r="J10" s="35"/>
      <c r="K10" s="35"/>
      <c r="L10" s="10" t="str">
        <f aca="false">IFERROR(INDEX('Cart Pairings'!$J$5:$J$12,MATCH(IF(COUNTIF(Scramble!$B$5:$B$6,B10)&gt;0,INDEX(Scramble!$C$5:$C$6,MATCH(B10,Scramble!$B$5:$B$6,0)),B10),'Cart Pairings'!$B$5:$B$12,0)),IFERROR(INDEX('Cart Pairings'!$J$5:$J$12,MATCH(IF(COUNTIF(Scramble!$B$5:$B$6,B10)&gt;0,INDEX(Scramble!$C$5:$C$6,MATCH(B10,Scramble!$B$5:$B$6,0)),B10),'Cart Pairings'!$C$5:$C$12,0)),"?"))</f>
        <v>C</v>
      </c>
      <c r="M10" s="10" t="str">
        <f aca="false">IFERROR(INDEX('Cart Pairings'!$J$5:$J$12,MATCH(IF(COUNTIF(Scramble!$B$5:$B$6,E10)&gt;0,INDEX(Scramble!$C$5:$C$6,MATCH(E10,Scramble!$B$5:$B$6,0)),E10),'Cart Pairings'!$B$5:$B$12,0)),IFERROR(INDEX('Cart Pairings'!$J$5:$J$12,MATCH(IF(COUNTIF(Scramble!$B$5:$B$6,E10)&gt;0,INDEX(Scramble!$C$5:$C$6,MATCH(E10,Scramble!$B$5:$B$6,0)),E10),'Cart Pairings'!$C$5:$C$12,0)),"?"))</f>
        <v>B</v>
      </c>
      <c r="N10" s="11" t="str">
        <f aca="false">IF(L10=M10,"together","SPLIT")</f>
        <v>SPLIT</v>
      </c>
    </row>
    <row r="11" customFormat="false" ht="15" hidden="false" customHeight="true" outlineLevel="0" collapsed="false">
      <c r="A11" s="25" t="n">
        <v>7</v>
      </c>
      <c r="B11" s="32" t="s">
        <v>67</v>
      </c>
      <c r="C11" s="10" t="n">
        <f aca="false" t="array" ref="C11:C11">IFERROR(INDEX('Players &amp; Hdcp'!$D$5:$D$20,MATCH(B11,'Players &amp; Hdcp'!$A$5:$A$20,0)),IFERROR(INDEX(Scramble!$G$5:$G$6,MATCH(B11,Scramble!$B$5:$B$6,0)),""))</f>
        <v>12</v>
      </c>
      <c r="D11" s="33" t="s">
        <v>90</v>
      </c>
      <c r="E11" s="34" t="s">
        <v>70</v>
      </c>
      <c r="F11" s="10" t="n">
        <f aca="false" t="array" ref="F11:F11">IFERROR(INDEX('Players &amp; Hdcp'!$D$5:$D$20,MATCH(E11,'Players &amp; Hdcp'!$A$5:$A$20,0)),IFERROR(INDEX(Scramble!$G$5:$G$6,MATCH(E11,Scramble!$B$5:$B$6,0)),""))</f>
        <v>12</v>
      </c>
      <c r="G11" s="10" t="n">
        <f aca="false">IFERROR(ABS(C11-F11),"")</f>
        <v>0</v>
      </c>
      <c r="H11" s="10" t="str">
        <f aca="false">IF(C11=F11,"— none —",IF(C11&gt;F11,B11,E11))</f>
        <v>— none —</v>
      </c>
      <c r="I11" s="7" t="s">
        <v>100</v>
      </c>
      <c r="J11" s="35"/>
      <c r="K11" s="35"/>
      <c r="L11" s="10" t="str">
        <f aca="false">IFERROR(INDEX('Cart Pairings'!$J$5:$J$12,MATCH(IF(COUNTIF(Scramble!$B$5:$B$6,B11)&gt;0,INDEX(Scramble!$C$5:$C$6,MATCH(B11,Scramble!$B$5:$B$6,0)),B11),'Cart Pairings'!$B$5:$B$12,0)),IFERROR(INDEX('Cart Pairings'!$J$5:$J$12,MATCH(IF(COUNTIF(Scramble!$B$5:$B$6,B11)&gt;0,INDEX(Scramble!$C$5:$C$6,MATCH(B11,Scramble!$B$5:$B$6,0)),B11),'Cart Pairings'!$C$5:$C$12,0)),"?"))</f>
        <v>D</v>
      </c>
      <c r="M11" s="10" t="str">
        <f aca="false">IFERROR(INDEX('Cart Pairings'!$J$5:$J$12,MATCH(IF(COUNTIF(Scramble!$B$5:$B$6,E11)&gt;0,INDEX(Scramble!$C$5:$C$6,MATCH(E11,Scramble!$B$5:$B$6,0)),E11),'Cart Pairings'!$B$5:$B$12,0)),IFERROR(INDEX('Cart Pairings'!$J$5:$J$12,MATCH(IF(COUNTIF(Scramble!$B$5:$B$6,E11)&gt;0,INDEX(Scramble!$C$5:$C$6,MATCH(E11,Scramble!$B$5:$B$6,0)),E11),'Cart Pairings'!$C$5:$C$12,0)),"?"))</f>
        <v>D</v>
      </c>
      <c r="N11" s="11" t="str">
        <f aca="false">IF(L11=M11,"together","SPLIT")</f>
        <v>together</v>
      </c>
    </row>
    <row r="13" customFormat="false" ht="15" hidden="false" customHeight="true" outlineLevel="0" collapsed="false">
      <c r="A13" s="18" t="s">
        <v>101</v>
      </c>
    </row>
    <row r="14" customFormat="false" ht="15" hidden="false" customHeight="true" outlineLevel="0" collapsed="false">
      <c r="A14" s="17" t="s">
        <v>102</v>
      </c>
    </row>
    <row r="15" customFormat="false" ht="15" hidden="false" customHeight="true" outlineLevel="0" collapsed="false">
      <c r="A15" s="17" t="s">
        <v>103</v>
      </c>
    </row>
    <row r="16" customFormat="false" ht="15" hidden="false" customHeight="true" outlineLevel="0" collapsed="false">
      <c r="A16" s="17" t="s">
        <v>104</v>
      </c>
    </row>
    <row r="17" customFormat="false" ht="15" hidden="false" customHeight="true" outlineLevel="0" collapsed="false">
      <c r="A17" s="17" t="s">
        <v>105</v>
      </c>
    </row>
    <row r="18" customFormat="false" ht="15" hidden="false" customHeight="true" outlineLevel="0" collapsed="false">
      <c r="A18" s="17" t="s">
        <v>106</v>
      </c>
    </row>
    <row r="19" customFormat="false" ht="15" hidden="false" customHeight="true" outlineLevel="0" collapsed="false">
      <c r="A19" s="31" t="s">
        <v>107</v>
      </c>
    </row>
    <row r="20" customFormat="false" ht="15" hidden="false" customHeight="true" outlineLevel="0" collapsed="false">
      <c r="A20" s="31" t="s">
        <v>108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N5:N11">
    <cfRule type="cellIs" priority="2" operator="equal" aboveAverage="0" equalAverage="0" bottom="0" percent="0" rank="0" text="" dxfId="0">
      <formula>"SPLIT"</formula>
    </cfRule>
    <cfRule type="cellIs" priority="3" operator="equal" aboveAverage="0" equalAverage="0" bottom="0" percent="0" rank="0" text="" dxfId="2">
      <formula>"together"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4"/>
    <col collapsed="false" customWidth="true" hidden="false" outlineLevel="0" max="5" min="4" style="1" width="9"/>
    <col collapsed="false" customWidth="true" hidden="false" outlineLevel="0" max="7" min="6" style="1" width="10"/>
    <col collapsed="false" customWidth="true" hidden="false" outlineLevel="0" max="9" min="8" style="1" width="9"/>
    <col collapsed="false" customWidth="true" hidden="false" outlineLevel="0" max="26" min="10" style="1" width="11"/>
  </cols>
  <sheetData>
    <row r="1" customFormat="false" ht="17.25" hidden="false" customHeight="true" outlineLevel="0" collapsed="false">
      <c r="A1" s="2" t="s">
        <v>109</v>
      </c>
    </row>
    <row r="2" customFormat="false" ht="15" hidden="false" customHeight="true" outlineLevel="0" collapsed="false">
      <c r="A2" s="3" t="s">
        <v>110</v>
      </c>
    </row>
    <row r="4" customFormat="false" ht="15" hidden="false" customHeight="true" outlineLevel="0" collapsed="false">
      <c r="A4" s="4" t="s">
        <v>8</v>
      </c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  <c r="G4" s="4" t="s">
        <v>116</v>
      </c>
      <c r="H4" s="4" t="s">
        <v>117</v>
      </c>
      <c r="I4" s="4" t="s">
        <v>118</v>
      </c>
      <c r="J4" s="4" t="s">
        <v>119</v>
      </c>
    </row>
    <row r="5" customFormat="false" ht="15" hidden="false" customHeight="true" outlineLevel="0" collapsed="false">
      <c r="A5" s="25" t="n">
        <v>1</v>
      </c>
      <c r="B5" s="9" t="s">
        <v>12</v>
      </c>
      <c r="C5" s="9" t="s">
        <v>19</v>
      </c>
      <c r="D5" s="10" t="n">
        <f aca="false" t="array" ref="D5:D5">IFERROR(INDEX('Players &amp; Hdcp'!$D$5:$D$20,MATCH(B5,'Players &amp; Hdcp'!$A$5:$A$20,0)),"")</f>
        <v>3</v>
      </c>
      <c r="E5" s="10" t="n">
        <f aca="false" t="array" ref="E5:E5">IFERROR(INDEX('Players &amp; Hdcp'!$D$5:$D$20,MATCH(C5,'Players &amp; Hdcp'!$A$5:$A$20,0)),"")</f>
        <v>10</v>
      </c>
      <c r="F5" s="10" t="str">
        <f aca="false" t="array" ref="F5:F5">IFERROR(INDEX(Teams!$A$5:$A$20,MATCH(B5,Teams!$B$5:$B$20,0)),"")</f>
        <v>Ryobi</v>
      </c>
      <c r="G5" s="10" t="str">
        <f aca="false" t="array" ref="G5:G5">IFERROR(INDEX(Teams!$A$5:$A$20,MATCH(C5,Teams!$B$5:$B$20,0)),"")</f>
        <v>Ryobi</v>
      </c>
      <c r="H5" s="10" t="n">
        <f aca="false">IFERROR(INDEX('Players &amp; Hdcp'!$H$5:$H$20,MATCH(B5,'Players &amp; Hdcp'!$A$5:$A$20,0)),"")</f>
        <v>1</v>
      </c>
      <c r="I5" s="10" t="n">
        <f aca="false">IFERROR(INDEX('Players &amp; Hdcp'!$H$5:$H$20,MATCH(C5,'Players &amp; Hdcp'!$A$5:$A$20,0)),"")</f>
        <v>2</v>
      </c>
      <c r="J5" s="36" t="s">
        <v>120</v>
      </c>
    </row>
    <row r="6" customFormat="false" ht="15" hidden="false" customHeight="true" outlineLevel="0" collapsed="false">
      <c r="A6" s="25" t="n">
        <v>2</v>
      </c>
      <c r="B6" s="9" t="s">
        <v>15</v>
      </c>
      <c r="C6" s="9" t="s">
        <v>17</v>
      </c>
      <c r="D6" s="10" t="n">
        <f aca="false" t="array" ref="D6:D6">IFERROR(INDEX('Players &amp; Hdcp'!$D$5:$D$20,MATCH(B6,'Players &amp; Hdcp'!$A$5:$A$20,0)),"")</f>
        <v>7</v>
      </c>
      <c r="E6" s="10" t="n">
        <f aca="false" t="array" ref="E6:E6">IFERROR(INDEX('Players &amp; Hdcp'!$D$5:$D$20,MATCH(C6,'Players &amp; Hdcp'!$A$5:$A$20,0)),"")</f>
        <v>10</v>
      </c>
      <c r="F6" s="10" t="str">
        <f aca="false" t="array" ref="F6:F6">IFERROR(INDEX(Teams!$A$5:$A$20,MATCH(B6,Teams!$B$5:$B$20,0)),"")</f>
        <v>Black &amp; Decker</v>
      </c>
      <c r="G6" s="10" t="str">
        <f aca="false" t="array" ref="G6:G6">IFERROR(INDEX(Teams!$A$5:$A$20,MATCH(C6,Teams!$B$5:$B$20,0)),"")</f>
        <v>Black &amp; Decker</v>
      </c>
      <c r="H6" s="10" t="n">
        <f aca="false">IFERROR(INDEX('Players &amp; Hdcp'!$H$5:$H$20,MATCH(B6,'Players &amp; Hdcp'!$A$5:$A$20,0)),"")</f>
        <v>1</v>
      </c>
      <c r="I6" s="10" t="n">
        <f aca="false">IFERROR(INDEX('Players &amp; Hdcp'!$H$5:$H$20,MATCH(C6,'Players &amp; Hdcp'!$A$5:$A$20,0)),"")</f>
        <v>2</v>
      </c>
      <c r="J6" s="36" t="s">
        <v>120</v>
      </c>
    </row>
    <row r="7" customFormat="false" ht="15" hidden="false" customHeight="true" outlineLevel="0" collapsed="false">
      <c r="A7" s="25" t="n">
        <v>3</v>
      </c>
      <c r="B7" s="9" t="s">
        <v>29</v>
      </c>
      <c r="C7" s="9" t="s">
        <v>23</v>
      </c>
      <c r="D7" s="10" t="n">
        <f aca="false" t="array" ref="D7:D7">IFERROR(INDEX('Players &amp; Hdcp'!$D$5:$D$20,MATCH(B7,'Players &amp; Hdcp'!$A$5:$A$20,0)),"")</f>
        <v>16</v>
      </c>
      <c r="E7" s="10" t="n">
        <f aca="false" t="array" ref="E7:E7">IFERROR(INDEX('Players &amp; Hdcp'!$D$5:$D$20,MATCH(C7,'Players &amp; Hdcp'!$A$5:$A$20,0)),"")</f>
        <v>12</v>
      </c>
      <c r="F7" s="10" t="str">
        <f aca="false" t="array" ref="F7:F7">IFERROR(INDEX(Teams!$A$5:$A$20,MATCH(B7,Teams!$B$5:$B$20,0)),"")</f>
        <v>Ryobi</v>
      </c>
      <c r="G7" s="10" t="str">
        <f aca="false" t="array" ref="G7:G7">IFERROR(INDEX(Teams!$A$5:$A$20,MATCH(C7,Teams!$B$5:$B$20,0)),"")</f>
        <v>Black &amp; Decker</v>
      </c>
      <c r="H7" s="10" t="n">
        <f aca="false">IFERROR(INDEX('Players &amp; Hdcp'!$H$5:$H$20,MATCH(B7,'Players &amp; Hdcp'!$A$5:$A$20,0)),"")</f>
        <v>5</v>
      </c>
      <c r="I7" s="10" t="n">
        <f aca="false">IFERROR(INDEX('Players &amp; Hdcp'!$H$5:$H$20,MATCH(C7,'Players &amp; Hdcp'!$A$5:$A$20,0)),"")</f>
        <v>3</v>
      </c>
      <c r="J7" s="36" t="s">
        <v>121</v>
      </c>
    </row>
    <row r="8" customFormat="false" ht="15" hidden="false" customHeight="true" outlineLevel="0" collapsed="false">
      <c r="A8" s="25" t="n">
        <v>4</v>
      </c>
      <c r="B8" s="9" t="s">
        <v>33</v>
      </c>
      <c r="C8" s="9" t="s">
        <v>25</v>
      </c>
      <c r="D8" s="10" t="n">
        <f aca="false" t="array" ref="D8:D8">IFERROR(INDEX('Players &amp; Hdcp'!$D$5:$D$20,MATCH(B8,'Players &amp; Hdcp'!$A$5:$A$20,0)),"")</f>
        <v>21</v>
      </c>
      <c r="E8" s="10" t="n">
        <f aca="false" t="array" ref="E8:E8">IFERROR(INDEX('Players &amp; Hdcp'!$D$5:$D$20,MATCH(C8,'Players &amp; Hdcp'!$A$5:$A$20,0)),"")</f>
        <v>13</v>
      </c>
      <c r="F8" s="10" t="str">
        <f aca="false" t="array" ref="F8:F8">IFERROR(INDEX(Teams!$A$5:$A$20,MATCH(B8,Teams!$B$5:$B$20,0)),"")</f>
        <v>Black &amp; Decker</v>
      </c>
      <c r="G8" s="10" t="str">
        <f aca="false" t="array" ref="G8:G8">IFERROR(INDEX(Teams!$A$5:$A$20,MATCH(C8,Teams!$B$5:$B$20,0)),"")</f>
        <v>Ryobi</v>
      </c>
      <c r="H8" s="10" t="n">
        <f aca="false">IFERROR(INDEX('Players &amp; Hdcp'!$H$5:$H$20,MATCH(B8,'Players &amp; Hdcp'!$A$5:$A$20,0)),"")</f>
        <v>6</v>
      </c>
      <c r="I8" s="10" t="n">
        <f aca="false">IFERROR(INDEX('Players &amp; Hdcp'!$H$5:$H$20,MATCH(C8,'Players &amp; Hdcp'!$A$5:$A$20,0)),"")</f>
        <v>3</v>
      </c>
      <c r="J8" s="36" t="s">
        <v>121</v>
      </c>
    </row>
    <row r="9" customFormat="false" ht="15" hidden="false" customHeight="true" outlineLevel="0" collapsed="false">
      <c r="A9" s="25" t="n">
        <v>5</v>
      </c>
      <c r="B9" s="9" t="s">
        <v>31</v>
      </c>
      <c r="C9" s="9" t="s">
        <v>21</v>
      </c>
      <c r="D9" s="10" t="n">
        <f aca="false" t="array" ref="D9:D9">IFERROR(INDEX('Players &amp; Hdcp'!$D$5:$D$20,MATCH(B9,'Players &amp; Hdcp'!$A$5:$A$20,0)),"")</f>
        <v>17</v>
      </c>
      <c r="E9" s="10" t="n">
        <f aca="false" t="array" ref="E9:E9">IFERROR(INDEX('Players &amp; Hdcp'!$D$5:$D$20,MATCH(C9,'Players &amp; Hdcp'!$A$5:$A$20,0)),"")</f>
        <v>12</v>
      </c>
      <c r="F9" s="10" t="str">
        <f aca="false" t="array" ref="F9:F9">IFERROR(INDEX(Teams!$A$5:$A$20,MATCH(B9,Teams!$B$5:$B$20,0)),"")</f>
        <v>Black &amp; Decker</v>
      </c>
      <c r="G9" s="10" t="str">
        <f aca="false" t="array" ref="G9:G9">IFERROR(INDEX(Teams!$A$5:$A$20,MATCH(C9,Teams!$B$5:$B$20,0)),"")</f>
        <v>Black &amp; Decker</v>
      </c>
      <c r="H9" s="10" t="n">
        <f aca="false">IFERROR(INDEX('Players &amp; Hdcp'!$H$5:$H$20,MATCH(B9,'Players &amp; Hdcp'!$A$5:$A$20,0)),"")</f>
        <v>5</v>
      </c>
      <c r="I9" s="10" t="n">
        <f aca="false">IFERROR(INDEX('Players &amp; Hdcp'!$H$5:$H$20,MATCH(C9,'Players &amp; Hdcp'!$A$5:$A$20,0)),"")</f>
        <v>4</v>
      </c>
      <c r="J9" s="36" t="s">
        <v>122</v>
      </c>
    </row>
    <row r="10" customFormat="false" ht="15" hidden="false" customHeight="true" outlineLevel="0" collapsed="false">
      <c r="A10" s="25" t="n">
        <v>6</v>
      </c>
      <c r="B10" s="9" t="s">
        <v>41</v>
      </c>
      <c r="C10" s="9" t="s">
        <v>27</v>
      </c>
      <c r="D10" s="10" t="n">
        <f aca="false" t="array" ref="D10:D10">IFERROR(INDEX('Players &amp; Hdcp'!$D$5:$D$20,MATCH(B10,'Players &amp; Hdcp'!$A$5:$A$20,0)),"")</f>
        <v>23</v>
      </c>
      <c r="E10" s="10" t="n">
        <f aca="false" t="array" ref="E10:E10">IFERROR(INDEX('Players &amp; Hdcp'!$D$5:$D$20,MATCH(C10,'Players &amp; Hdcp'!$A$5:$A$20,0)),"")</f>
        <v>13</v>
      </c>
      <c r="F10" s="10" t="str">
        <f aca="false" t="array" ref="F10:F10">IFERROR(INDEX(Teams!$A$5:$A$20,MATCH(B10,Teams!$B$5:$B$20,0)),"")</f>
        <v>Ryobi</v>
      </c>
      <c r="G10" s="10" t="str">
        <f aca="false" t="array" ref="G10:G10">IFERROR(INDEX(Teams!$A$5:$A$20,MATCH(C10,Teams!$B$5:$B$20,0)),"")</f>
        <v>Ryobi</v>
      </c>
      <c r="H10" s="10" t="n">
        <f aca="false">IFERROR(INDEX('Players &amp; Hdcp'!$H$5:$H$20,MATCH(B10,'Players &amp; Hdcp'!$A$5:$A$20,0)),"")</f>
        <v>6</v>
      </c>
      <c r="I10" s="10" t="n">
        <f aca="false">IFERROR(INDEX('Players &amp; Hdcp'!$H$5:$H$20,MATCH(C10,'Players &amp; Hdcp'!$A$5:$A$20,0)),"")</f>
        <v>4</v>
      </c>
      <c r="J10" s="36" t="s">
        <v>122</v>
      </c>
    </row>
    <row r="11" customFormat="false" ht="15" hidden="false" customHeight="true" outlineLevel="0" collapsed="false">
      <c r="A11" s="25" t="n">
        <v>7</v>
      </c>
      <c r="B11" s="9" t="s">
        <v>34</v>
      </c>
      <c r="C11" s="9" t="s">
        <v>42</v>
      </c>
      <c r="D11" s="10" t="n">
        <f aca="false" t="array" ref="D11:D11">IFERROR(INDEX('Players &amp; Hdcp'!$D$5:$D$20,MATCH(B11,'Players &amp; Hdcp'!$A$5:$A$20,0)),"")</f>
        <v>23</v>
      </c>
      <c r="E11" s="10" t="n">
        <f aca="false" t="array" ref="E11:E11">IFERROR(INDEX('Players &amp; Hdcp'!$D$5:$D$20,MATCH(C11,'Players &amp; Hdcp'!$A$5:$A$20,0)),"")</f>
        <v>23</v>
      </c>
      <c r="F11" s="10" t="str">
        <f aca="false" t="array" ref="F11:F11">IFERROR(INDEX(Teams!$A$5:$A$20,MATCH(B11,Teams!$B$5:$B$20,0)),"")</f>
        <v>Ryobi</v>
      </c>
      <c r="G11" s="10" t="str">
        <f aca="false" t="array" ref="G11:G11">IFERROR(INDEX(Teams!$A$5:$A$20,MATCH(C11,Teams!$B$5:$B$20,0)),"")</f>
        <v>Ryobi</v>
      </c>
      <c r="H11" s="10" t="n">
        <f aca="false">IFERROR(INDEX('Players &amp; Hdcp'!$H$5:$H$20,MATCH(B11,'Players &amp; Hdcp'!$A$5:$A$20,0)),"")</f>
        <v>7</v>
      </c>
      <c r="I11" s="10" t="n">
        <f aca="false">IFERROR(INDEX('Players &amp; Hdcp'!$H$5:$H$20,MATCH(C11,'Players &amp; Hdcp'!$A$5:$A$20,0)),"")</f>
        <v>7</v>
      </c>
      <c r="J11" s="36" t="s">
        <v>123</v>
      </c>
    </row>
    <row r="12" customFormat="false" ht="15" hidden="false" customHeight="true" outlineLevel="0" collapsed="false">
      <c r="A12" s="25" t="n">
        <v>8</v>
      </c>
      <c r="B12" s="9" t="s">
        <v>39</v>
      </c>
      <c r="C12" s="9" t="s">
        <v>37</v>
      </c>
      <c r="D12" s="10" t="n">
        <f aca="false" t="array" ref="D12:D12">IFERROR(INDEX('Players &amp; Hdcp'!$D$5:$D$20,MATCH(B12,'Players &amp; Hdcp'!$A$5:$A$20,0)),"")</f>
        <v>23</v>
      </c>
      <c r="E12" s="10" t="n">
        <f aca="false" t="array" ref="E12:E12">IFERROR(INDEX('Players &amp; Hdcp'!$D$5:$D$20,MATCH(C12,'Players &amp; Hdcp'!$A$5:$A$20,0)),"")</f>
        <v>23</v>
      </c>
      <c r="F12" s="10" t="str">
        <f aca="false" t="array" ref="F12:F12">IFERROR(INDEX(Teams!$A$5:$A$20,MATCH(B12,Teams!$B$5:$B$20,0)),"")</f>
        <v>Black &amp; Decker</v>
      </c>
      <c r="G12" s="10" t="str">
        <f aca="false" t="array" ref="G12:G12">IFERROR(INDEX(Teams!$A$5:$A$20,MATCH(C12,Teams!$B$5:$B$20,0)),"")</f>
        <v>Black &amp; Decker</v>
      </c>
      <c r="H12" s="10" t="n">
        <f aca="false">IFERROR(INDEX('Players &amp; Hdcp'!$H$5:$H$20,MATCH(B12,'Players &amp; Hdcp'!$A$5:$A$20,0)),"")</f>
        <v>7</v>
      </c>
      <c r="I12" s="10" t="n">
        <f aca="false">IFERROR(INDEX('Players &amp; Hdcp'!$H$5:$H$20,MATCH(C12,'Players &amp; Hdcp'!$A$5:$A$20,0)),"")</f>
        <v>7</v>
      </c>
      <c r="J12" s="36" t="s">
        <v>123</v>
      </c>
    </row>
    <row r="15" customFormat="false" ht="15" hidden="false" customHeight="true" outlineLevel="0" collapsed="false">
      <c r="A15" s="30" t="s">
        <v>124</v>
      </c>
    </row>
    <row r="16" customFormat="false" ht="15" hidden="false" customHeight="true" outlineLevel="0" collapsed="false">
      <c r="A16" s="31" t="s">
        <v>125</v>
      </c>
    </row>
    <row r="17" customFormat="false" ht="15" hidden="false" customHeight="true" outlineLevel="0" collapsed="false">
      <c r="A17" s="31" t="s">
        <v>126</v>
      </c>
    </row>
    <row r="18" customFormat="false" ht="15" hidden="false" customHeight="true" outlineLevel="0" collapsed="false">
      <c r="A18" s="31" t="s">
        <v>127</v>
      </c>
    </row>
    <row r="19" customFormat="false" ht="15" hidden="false" customHeight="true" outlineLevel="0" collapsed="false">
      <c r="A19" s="31" t="s">
        <v>128</v>
      </c>
    </row>
    <row r="20" customFormat="false" ht="15" hidden="false" customHeight="true" outlineLevel="0" collapsed="false">
      <c r="A20" s="31" t="s">
        <v>129</v>
      </c>
    </row>
    <row r="21" customFormat="false" ht="15.75" hidden="false" customHeight="true" outlineLevel="0" collapsed="false">
      <c r="A21" s="18" t="s">
        <v>130</v>
      </c>
    </row>
    <row r="22" customFormat="false" ht="15.75" hidden="false" customHeight="true" outlineLevel="0" collapsed="false">
      <c r="A22" s="17" t="s">
        <v>131</v>
      </c>
    </row>
    <row r="23" customFormat="false" ht="15.75" hidden="false" customHeight="true" outlineLevel="0" collapsed="false">
      <c r="A23" s="17" t="s">
        <v>132</v>
      </c>
    </row>
    <row r="24" customFormat="false" ht="15.75" hidden="false" customHeight="true" outlineLevel="0" collapsed="false">
      <c r="A24" s="17" t="s">
        <v>133</v>
      </c>
    </row>
    <row r="25" customFormat="false" ht="15.75" hidden="false" customHeight="true" outlineLevel="0" collapsed="false">
      <c r="A25" s="17" t="s">
        <v>134</v>
      </c>
    </row>
    <row r="26" customFormat="false" ht="15.75" hidden="false" customHeight="true" outlineLevel="0" collapsed="false">
      <c r="A26" s="17" t="s">
        <v>135</v>
      </c>
    </row>
    <row r="27" customFormat="false" ht="15.75" hidden="false" customHeight="true" outlineLevel="0" collapsed="false">
      <c r="A27" s="17" t="s">
        <v>136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false" showInputMessage="false" sqref="B5:C12" type="list">
      <formula1>PlayerList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8"/>
    <col collapsed="false" customWidth="true" hidden="false" outlineLevel="0" max="26" min="2" style="1" width="8.71"/>
  </cols>
  <sheetData>
    <row r="1" customFormat="false" ht="17.25" hidden="false" customHeight="true" outlineLevel="0" collapsed="false">
      <c r="A1" s="2" t="s">
        <v>137</v>
      </c>
    </row>
    <row r="2" customFormat="false" ht="15" hidden="false" customHeight="true" outlineLevel="0" collapsed="false">
      <c r="A2" s="3" t="s">
        <v>138</v>
      </c>
    </row>
    <row r="4" customFormat="false" ht="15" hidden="false" customHeight="true" outlineLevel="0" collapsed="false">
      <c r="A4" s="37" t="s">
        <v>139</v>
      </c>
    </row>
    <row r="5" customFormat="false" ht="15" hidden="false" customHeight="true" outlineLevel="0" collapsed="false">
      <c r="A5" s="17" t="s">
        <v>140</v>
      </c>
    </row>
    <row r="6" customFormat="false" ht="15" hidden="false" customHeight="true" outlineLevel="0" collapsed="false">
      <c r="A6" s="17" t="s">
        <v>141</v>
      </c>
    </row>
    <row r="7" customFormat="false" ht="15" hidden="false" customHeight="true" outlineLevel="0" collapsed="false">
      <c r="A7" s="17" t="s">
        <v>142</v>
      </c>
    </row>
    <row r="8" customFormat="false" ht="15" hidden="false" customHeight="true" outlineLevel="0" collapsed="false">
      <c r="A8" s="17" t="s">
        <v>143</v>
      </c>
    </row>
    <row r="9" customFormat="false" ht="15" hidden="false" customHeight="true" outlineLevel="0" collapsed="false">
      <c r="A9" s="17" t="s">
        <v>144</v>
      </c>
    </row>
    <row r="10" customFormat="false" ht="15" hidden="false" customHeight="true" outlineLevel="0" collapsed="false">
      <c r="A10" s="17" t="s">
        <v>145</v>
      </c>
    </row>
    <row r="11" customFormat="false" ht="15" hidden="false" customHeight="true" outlineLevel="0" collapsed="false">
      <c r="A11" s="17" t="s">
        <v>146</v>
      </c>
    </row>
    <row r="13" customFormat="false" ht="15" hidden="false" customHeight="true" outlineLevel="0" collapsed="false">
      <c r="A13" s="37" t="s">
        <v>147</v>
      </c>
    </row>
    <row r="14" customFormat="false" ht="15" hidden="false" customHeight="true" outlineLevel="0" collapsed="false">
      <c r="A14" s="17" t="s">
        <v>148</v>
      </c>
    </row>
    <row r="15" customFormat="false" ht="15" hidden="false" customHeight="true" outlineLevel="0" collapsed="false">
      <c r="A15" s="17" t="s">
        <v>149</v>
      </c>
    </row>
    <row r="16" customFormat="false" ht="15" hidden="false" customHeight="true" outlineLevel="0" collapsed="false">
      <c r="A16" s="17" t="s">
        <v>150</v>
      </c>
    </row>
    <row r="17" customFormat="false" ht="15" hidden="false" customHeight="true" outlineLevel="0" collapsed="false">
      <c r="A17" s="17" t="s">
        <v>151</v>
      </c>
    </row>
    <row r="19" customFormat="false" ht="15" hidden="false" customHeight="true" outlineLevel="0" collapsed="false">
      <c r="A19" s="37" t="s">
        <v>152</v>
      </c>
    </row>
    <row r="20" customFormat="false" ht="15" hidden="false" customHeight="true" outlineLevel="0" collapsed="false">
      <c r="A20" s="17" t="s">
        <v>153</v>
      </c>
    </row>
    <row r="21" customFormat="false" ht="15.75" hidden="false" customHeight="true" outlineLevel="0" collapsed="false">
      <c r="A21" s="17" t="s">
        <v>154</v>
      </c>
    </row>
    <row r="22" customFormat="false" ht="15.75" hidden="false" customHeight="true" outlineLevel="0" collapsed="false">
      <c r="A22" s="17" t="s">
        <v>155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37" t="s">
        <v>156</v>
      </c>
    </row>
    <row r="25" customFormat="false" ht="15.75" hidden="false" customHeight="true" outlineLevel="0" collapsed="false">
      <c r="A25" s="17" t="s">
        <v>157</v>
      </c>
    </row>
    <row r="26" customFormat="false" ht="15.75" hidden="false" customHeight="true" outlineLevel="0" collapsed="false">
      <c r="A26" s="17" t="s">
        <v>158</v>
      </c>
    </row>
    <row r="27" customFormat="false" ht="15.75" hidden="false" customHeight="true" outlineLevel="0" collapsed="false">
      <c r="A27" s="17" t="s">
        <v>159</v>
      </c>
    </row>
    <row r="28" customFormat="false" ht="15.75" hidden="false" customHeight="true" outlineLevel="0" collapsed="false">
      <c r="A28" s="17" t="s">
        <v>160</v>
      </c>
    </row>
    <row r="29" customFormat="false" ht="15.75" hidden="false" customHeight="true" outlineLevel="0" collapsed="false">
      <c r="A29" s="17" t="s">
        <v>161</v>
      </c>
    </row>
    <row r="30" customFormat="false" ht="15.75" hidden="false" customHeight="true" outlineLevel="0" collapsed="false">
      <c r="A30" s="17" t="s">
        <v>162</v>
      </c>
    </row>
    <row r="31" customFormat="false" ht="15.75" hidden="false" customHeight="true" outlineLevel="0" collapsed="false"/>
    <row r="32" customFormat="false" ht="15.75" hidden="false" customHeight="true" outlineLevel="0" collapsed="false">
      <c r="A32" s="37" t="s">
        <v>163</v>
      </c>
    </row>
    <row r="33" customFormat="false" ht="15.75" hidden="false" customHeight="true" outlineLevel="0" collapsed="false">
      <c r="A33" s="17" t="s">
        <v>164</v>
      </c>
    </row>
    <row r="34" customFormat="false" ht="15.75" hidden="false" customHeight="true" outlineLevel="0" collapsed="false">
      <c r="A34" s="17" t="s">
        <v>165</v>
      </c>
    </row>
    <row r="35" customFormat="false" ht="15.75" hidden="false" customHeight="true" outlineLevel="0" collapsed="false">
      <c r="A35" s="17" t="s">
        <v>166</v>
      </c>
    </row>
    <row r="36" customFormat="false" ht="15.75" hidden="false" customHeight="true" outlineLevel="0" collapsed="false"/>
    <row r="37" customFormat="false" ht="15.75" hidden="false" customHeight="true" outlineLevel="0" collapsed="false">
      <c r="A37" s="37" t="s">
        <v>167</v>
      </c>
    </row>
    <row r="38" customFormat="false" ht="15.75" hidden="false" customHeight="true" outlineLevel="0" collapsed="false">
      <c r="A38" s="17" t="s">
        <v>168</v>
      </c>
    </row>
    <row r="39" customFormat="false" ht="15.75" hidden="false" customHeight="true" outlineLevel="0" collapsed="false">
      <c r="A39" s="17" t="s">
        <v>169</v>
      </c>
    </row>
    <row r="40" customFormat="false" ht="15.75" hidden="false" customHeight="true" outlineLevel="0" collapsed="false">
      <c r="A40" s="17" t="s">
        <v>170</v>
      </c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7"/>
    <col collapsed="false" customWidth="true" hidden="false" outlineLevel="0" max="3" min="3" style="1" width="13"/>
    <col collapsed="false" customWidth="true" hidden="false" outlineLevel="0" max="5" min="4" style="1" width="9"/>
    <col collapsed="false" customWidth="true" hidden="false" outlineLevel="0" max="6" min="6" style="1" width="11"/>
    <col collapsed="false" customWidth="true" hidden="false" outlineLevel="0" max="7" min="7" style="1" width="3"/>
    <col collapsed="false" customWidth="true" hidden="false" outlineLevel="0" max="8" min="8" style="1" width="20"/>
    <col collapsed="false" customWidth="true" hidden="false" outlineLevel="0" max="9" min="9" style="1" width="22"/>
    <col collapsed="false" customWidth="true" hidden="false" outlineLevel="0" max="26" min="10" style="1" width="8.71"/>
  </cols>
  <sheetData>
    <row r="1" customFormat="false" ht="17.25" hidden="false" customHeight="true" outlineLevel="0" collapsed="false">
      <c r="A1" s="2" t="s">
        <v>171</v>
      </c>
    </row>
    <row r="2" customFormat="false" ht="15" hidden="false" customHeight="true" outlineLevel="0" collapsed="false">
      <c r="A2" s="3" t="s">
        <v>172</v>
      </c>
    </row>
    <row r="4" customFormat="false" ht="26.25" hidden="false" customHeight="true" outlineLevel="0" collapsed="false">
      <c r="A4" s="4" t="s">
        <v>7</v>
      </c>
      <c r="B4" s="4" t="s">
        <v>173</v>
      </c>
      <c r="C4" s="4" t="s">
        <v>45</v>
      </c>
      <c r="D4" s="4" t="s">
        <v>174</v>
      </c>
      <c r="E4" s="4" t="s">
        <v>175</v>
      </c>
      <c r="F4" s="4" t="s">
        <v>176</v>
      </c>
      <c r="H4" s="5" t="s">
        <v>177</v>
      </c>
      <c r="I4" s="6"/>
    </row>
    <row r="5" customFormat="false" ht="15" hidden="false" customHeight="true" outlineLevel="0" collapsed="false">
      <c r="A5" s="21" t="s">
        <v>52</v>
      </c>
      <c r="B5" s="38" t="str">
        <f aca="false">IFERROR(INDEX(Teams!$B$5:$B$20,MATCH("Ryobi-1",Teams!$N$5:$N$20,0)),"— empty —")</f>
        <v>Jipp</v>
      </c>
      <c r="C5" s="10" t="n">
        <f aca="false" t="array" ref="C5:C5">IFERROR(INDEX('Players &amp; Hdcp'!$D$5:$D$20,MATCH(B5,'Players &amp; Hdcp'!$A$5:$A$20,0)),"")</f>
        <v>3</v>
      </c>
      <c r="D5" s="39"/>
      <c r="E5" s="10" t="str">
        <f aca="false">IF(D5="","",D5-C5)</f>
        <v/>
      </c>
      <c r="F5" s="11" t="str">
        <f aca="false">IF(E5="","",IF(AND(E5=MAX($E$5:$E$11),ROW()=MATCH(MAX($E$5:$E$11),$E$5:$E$11,0)+5-1),"DROPPED","counts"))</f>
        <v/>
      </c>
      <c r="H5" s="26" t="s">
        <v>178</v>
      </c>
      <c r="I5" s="10" t="str">
        <f aca="false">IF(COUNT($E$5:$E$11)&lt;7,"",SUM($E$5:$E$11)-MAX($E$5:$E$11))</f>
        <v/>
      </c>
    </row>
    <row r="6" customFormat="false" ht="15" hidden="false" customHeight="true" outlineLevel="0" collapsed="false">
      <c r="A6" s="21" t="s">
        <v>52</v>
      </c>
      <c r="B6" s="38" t="str">
        <f aca="false">IFERROR(INDEX(Teams!$B$5:$B$20,MATCH("Ryobi-2",Teams!$N$5:$N$20,0)),"— empty —")</f>
        <v>Adam</v>
      </c>
      <c r="C6" s="10" t="n">
        <f aca="false" t="array" ref="C6:C6">IFERROR(INDEX('Players &amp; Hdcp'!$D$5:$D$20,MATCH(B6,'Players &amp; Hdcp'!$A$5:$A$20,0)),"")</f>
        <v>10</v>
      </c>
      <c r="D6" s="39"/>
      <c r="E6" s="10" t="str">
        <f aca="false">IF(D6="","",D6-C6)</f>
        <v/>
      </c>
      <c r="F6" s="11" t="str">
        <f aca="false">IF(E6="","",IF(AND(E6=MAX($E$5:$E$11),ROW()=MATCH(MAX($E$5:$E$11),$E$5:$E$11,0)+5-1),"DROPPED","counts"))</f>
        <v/>
      </c>
      <c r="H6" s="26" t="s">
        <v>179</v>
      </c>
      <c r="I6" s="10" t="str">
        <f aca="false">IF(COUNT($E$12:$E$18)&lt;7,"",SUM($E$12:$E$18)-MAX($E$12:$E$18))</f>
        <v/>
      </c>
    </row>
    <row r="7" customFormat="false" ht="15" hidden="false" customHeight="true" outlineLevel="0" collapsed="false">
      <c r="A7" s="21" t="s">
        <v>52</v>
      </c>
      <c r="B7" s="38" t="str">
        <f aca="false">IFERROR(INDEX(Teams!$B$5:$B$20,MATCH("Ryobi-3",Teams!$N$5:$N$20,0)),"— empty —")</f>
        <v>Neels</v>
      </c>
      <c r="C7" s="10" t="n">
        <f aca="false" t="array" ref="C7:C7">IFERROR(INDEX('Players &amp; Hdcp'!$D$5:$D$20,MATCH(B7,'Players &amp; Hdcp'!$A$5:$A$20,0)),"")</f>
        <v>13</v>
      </c>
      <c r="D7" s="39"/>
      <c r="E7" s="10" t="str">
        <f aca="false">IF(D7="","",D7-C7)</f>
        <v/>
      </c>
      <c r="F7" s="11" t="str">
        <f aca="false">IF(E7="","",IF(AND(E7=MAX($E$5:$E$11),ROW()=MATCH(MAX($E$5:$E$11),$E$5:$E$11,0)+5-1),"DROPPED","counts"))</f>
        <v/>
      </c>
      <c r="H7" s="26" t="s">
        <v>180</v>
      </c>
      <c r="I7" s="10" t="str">
        <f aca="false">IF(OR(I5="",I6=""),"",ABS(I5-I6))</f>
        <v/>
      </c>
    </row>
    <row r="8" customFormat="false" ht="15" hidden="false" customHeight="true" outlineLevel="0" collapsed="false">
      <c r="A8" s="21" t="s">
        <v>52</v>
      </c>
      <c r="B8" s="38" t="str">
        <f aca="false">IFERROR(INDEX(Teams!$B$5:$B$20,MATCH("Ryobi-4",Teams!$N$5:$N$20,0)),"— empty —")</f>
        <v>Pat</v>
      </c>
      <c r="C8" s="10" t="n">
        <f aca="false" t="array" ref="C8:C8">IFERROR(INDEX('Players &amp; Hdcp'!$D$5:$D$20,MATCH(B8,'Players &amp; Hdcp'!$A$5:$A$20,0)),"")</f>
        <v>13</v>
      </c>
      <c r="D8" s="39"/>
      <c r="E8" s="10" t="str">
        <f aca="false">IF(D8="","",D8-C8)</f>
        <v/>
      </c>
      <c r="F8" s="11" t="str">
        <f aca="false">IF(E8="","",IF(AND(E8=MAX($E$5:$E$11),ROW()=MATCH(MAX($E$5:$E$11),$E$5:$E$11,0)+5-1),"DROPPED","counts"))</f>
        <v/>
      </c>
      <c r="H8" s="26" t="s">
        <v>95</v>
      </c>
      <c r="I8" s="10" t="str">
        <f aca="false">IF(OR(I5="",I6=""),"",IF(I5&lt;I6,"RYOBI",IF(I6&lt;I5,"BLACK &amp; DECKER","TIE — playoff at the pool")))</f>
        <v/>
      </c>
    </row>
    <row r="9" customFormat="false" ht="15" hidden="false" customHeight="true" outlineLevel="0" collapsed="false">
      <c r="A9" s="21" t="s">
        <v>52</v>
      </c>
      <c r="B9" s="38" t="str">
        <f aca="false">IFERROR(INDEX(Teams!$B$5:$B$20,MATCH("Ryobi-5",Teams!$N$5:$N$20,0)),"— empty —")</f>
        <v>Dan</v>
      </c>
      <c r="C9" s="10" t="n">
        <f aca="false" t="array" ref="C9:C9">IFERROR(INDEX('Players &amp; Hdcp'!$D$5:$D$20,MATCH(B9,'Players &amp; Hdcp'!$A$5:$A$20,0)),"")</f>
        <v>16</v>
      </c>
      <c r="D9" s="39"/>
      <c r="E9" s="10" t="str">
        <f aca="false">IF(D9="","",D9-C9)</f>
        <v/>
      </c>
      <c r="F9" s="11" t="str">
        <f aca="false">IF(E9="","",IF(AND(E9=MAX($E$5:$E$11),ROW()=MATCH(MAX($E$5:$E$11),$E$5:$E$11,0)+5-1),"DROPPED","counts"))</f>
        <v/>
      </c>
      <c r="H9" s="26" t="s">
        <v>181</v>
      </c>
      <c r="I9" s="10" t="str">
        <f aca="false" t="array" ref="I9:I9">IF(COUNT($E$5:$E$11)&lt;7,"",INDEX($B$5:$B$11,MATCH(MAX($E$5:$E$11),$E$5:$E$11,0)))</f>
        <v/>
      </c>
    </row>
    <row r="10" customFormat="false" ht="15" hidden="false" customHeight="true" outlineLevel="0" collapsed="false">
      <c r="A10" s="21" t="s">
        <v>52</v>
      </c>
      <c r="B10" s="38" t="str">
        <f aca="false">IFERROR(INDEX(Teams!$B$5:$B$20,MATCH("Ryobi-6",Teams!$N$5:$N$20,0)),"— empty —")</f>
        <v>Landon</v>
      </c>
      <c r="C10" s="10" t="n">
        <f aca="false" t="array" ref="C10:C10">IFERROR(INDEX('Players &amp; Hdcp'!$D$5:$D$20,MATCH(B10,'Players &amp; Hdcp'!$A$5:$A$20,0)),"")</f>
        <v>23</v>
      </c>
      <c r="D10" s="39"/>
      <c r="E10" s="10" t="str">
        <f aca="false">IF(D10="","",D10-C10)</f>
        <v/>
      </c>
      <c r="F10" s="11" t="str">
        <f aca="false">IF(E10="","",IF(AND(E10=MAX($E$5:$E$11),ROW()=MATCH(MAX($E$5:$E$11),$E$5:$E$11,0)+5-1),"DROPPED","counts"))</f>
        <v/>
      </c>
      <c r="H10" s="26" t="s">
        <v>182</v>
      </c>
      <c r="I10" s="10" t="str">
        <f aca="false" t="array" ref="I10:I10">IF(COUNT($E$12:$E$18)&lt;7,"",INDEX($B$12:$B$18,MATCH(MAX($E$12:$E$18),$E$12:$E$18,0)))</f>
        <v/>
      </c>
    </row>
    <row r="11" customFormat="false" ht="15" hidden="false" customHeight="true" outlineLevel="0" collapsed="false">
      <c r="A11" s="21" t="s">
        <v>52</v>
      </c>
      <c r="B11" s="38" t="str">
        <f aca="false">IFERROR(INDEX(Scramble!$B$5:$B$6,MATCH("Ryobi",Scramble!$F$5:$F$6,0)),"— empty —")</f>
        <v>Ryobi Scramble</v>
      </c>
      <c r="C11" s="10" t="n">
        <f aca="false">IFERROR(INDEX(Scramble!$G$5:$G$6,MATCH(B11,Scramble!$B$5:$B$6,0)),"")</f>
        <v>12</v>
      </c>
      <c r="D11" s="39"/>
      <c r="E11" s="10" t="str">
        <f aca="false">IF(D11="","",D11-C11)</f>
        <v/>
      </c>
      <c r="F11" s="11" t="str">
        <f aca="false">IF(E11="","",IF(AND(E11=MAX($E$5:$E$11),ROW()=MATCH(MAX($E$5:$E$11),$E$5:$E$11,0)+5-1),"DROPPED","counts"))</f>
        <v/>
      </c>
    </row>
    <row r="12" customFormat="false" ht="15" hidden="false" customHeight="true" outlineLevel="0" collapsed="false">
      <c r="A12" s="23" t="s">
        <v>53</v>
      </c>
      <c r="B12" s="38" t="str">
        <f aca="false">IFERROR(INDEX(Teams!$B$5:$B$20,MATCH("Black &amp; Decker-1",Teams!$N$5:$N$20,0)),"— empty —")</f>
        <v>Joe</v>
      </c>
      <c r="C12" s="10" t="n">
        <f aca="false" t="array" ref="C12:C12">IFERROR(INDEX('Players &amp; Hdcp'!$D$5:$D$20,MATCH(B12,'Players &amp; Hdcp'!$A$5:$A$20,0)),"")</f>
        <v>7</v>
      </c>
      <c r="D12" s="39"/>
      <c r="E12" s="10" t="str">
        <f aca="false">IF(D12="","",D12-C12)</f>
        <v/>
      </c>
      <c r="F12" s="11" t="str">
        <f aca="false">IF(E12="","",IF(AND(E12=MAX($E$12:$E$18),ROW()=MATCH(MAX($E$12:$E$18),$E$12:$E$18,0)+12-1),"DROPPED","counts"))</f>
        <v/>
      </c>
      <c r="H12" s="3" t="s">
        <v>183</v>
      </c>
    </row>
    <row r="13" customFormat="false" ht="15" hidden="false" customHeight="true" outlineLevel="0" collapsed="false">
      <c r="A13" s="23" t="s">
        <v>53</v>
      </c>
      <c r="B13" s="38" t="str">
        <f aca="false">IFERROR(INDEX(Teams!$B$5:$B$20,MATCH("Black &amp; Decker-2",Teams!$N$5:$N$20,0)),"— empty —")</f>
        <v>Tito</v>
      </c>
      <c r="C13" s="10" t="n">
        <f aca="false" t="array" ref="C13:C13">IFERROR(INDEX('Players &amp; Hdcp'!$D$5:$D$20,MATCH(B13,'Players &amp; Hdcp'!$A$5:$A$20,0)),"")</f>
        <v>10</v>
      </c>
      <c r="D13" s="39"/>
      <c r="E13" s="10" t="str">
        <f aca="false">IF(D13="","",D13-C13)</f>
        <v/>
      </c>
      <c r="F13" s="11" t="str">
        <f aca="false">IF(E13="","",IF(AND(E13=MAX($E$12:$E$18),ROW()=MATCH(MAX($E$12:$E$18),$E$12:$E$18,0)+12-1),"DROPPED","counts"))</f>
        <v/>
      </c>
    </row>
    <row r="14" customFormat="false" ht="15" hidden="false" customHeight="true" outlineLevel="0" collapsed="false">
      <c r="A14" s="23" t="s">
        <v>53</v>
      </c>
      <c r="B14" s="38" t="str">
        <f aca="false">IFERROR(INDEX(Teams!$B$5:$B$20,MATCH("Black &amp; Decker-3",Teams!$N$5:$N$20,0)),"— empty —")</f>
        <v>Meat</v>
      </c>
      <c r="C14" s="10" t="n">
        <f aca="false" t="array" ref="C14:C14">IFERROR(INDEX('Players &amp; Hdcp'!$D$5:$D$20,MATCH(B14,'Players &amp; Hdcp'!$A$5:$A$20,0)),"")</f>
        <v>12</v>
      </c>
      <c r="D14" s="39"/>
      <c r="E14" s="10" t="str">
        <f aca="false">IF(D14="","",D14-C14)</f>
        <v/>
      </c>
      <c r="F14" s="11" t="str">
        <f aca="false">IF(E14="","",IF(AND(E14=MAX($E$12:$E$18),ROW()=MATCH(MAX($E$12:$E$18),$E$12:$E$18,0)+12-1),"DROPPED","counts"))</f>
        <v/>
      </c>
    </row>
    <row r="15" customFormat="false" ht="15" hidden="false" customHeight="true" outlineLevel="0" collapsed="false">
      <c r="A15" s="23" t="s">
        <v>53</v>
      </c>
      <c r="B15" s="38" t="str">
        <f aca="false">IFERROR(INDEX(Teams!$B$5:$B$20,MATCH("Black &amp; Decker-4",Teams!$N$5:$N$20,0)),"— empty —")</f>
        <v>Ron</v>
      </c>
      <c r="C15" s="10" t="n">
        <f aca="false" t="array" ref="C15:C15">IFERROR(INDEX('Players &amp; Hdcp'!$D$5:$D$20,MATCH(B15,'Players &amp; Hdcp'!$A$5:$A$20,0)),"")</f>
        <v>12</v>
      </c>
      <c r="D15" s="39"/>
      <c r="E15" s="10" t="str">
        <f aca="false">IF(D15="","",D15-C15)</f>
        <v/>
      </c>
      <c r="F15" s="11" t="str">
        <f aca="false">IF(E15="","",IF(AND(E15=MAX($E$12:$E$18),ROW()=MATCH(MAX($E$12:$E$18),$E$12:$E$18,0)+12-1),"DROPPED","counts"))</f>
        <v/>
      </c>
    </row>
    <row r="16" customFormat="false" ht="15" hidden="false" customHeight="true" outlineLevel="0" collapsed="false">
      <c r="A16" s="23" t="s">
        <v>53</v>
      </c>
      <c r="B16" s="38" t="str">
        <f aca="false">IFERROR(INDEX(Teams!$B$5:$B$20,MATCH("Black &amp; Decker-5",Teams!$N$5:$N$20,0)),"— empty —")</f>
        <v>Latex</v>
      </c>
      <c r="C16" s="10" t="n">
        <f aca="false" t="array" ref="C16:C16">IFERROR(INDEX('Players &amp; Hdcp'!$D$5:$D$20,MATCH(B16,'Players &amp; Hdcp'!$A$5:$A$20,0)),"")</f>
        <v>17</v>
      </c>
      <c r="D16" s="39"/>
      <c r="E16" s="10" t="str">
        <f aca="false">IF(D16="","",D16-C16)</f>
        <v/>
      </c>
      <c r="F16" s="11" t="str">
        <f aca="false">IF(E16="","",IF(AND(E16=MAX($E$12:$E$18),ROW()=MATCH(MAX($E$12:$E$18),$E$12:$E$18,0)+12-1),"DROPPED","counts"))</f>
        <v/>
      </c>
    </row>
    <row r="17" customFormat="false" ht="15" hidden="false" customHeight="true" outlineLevel="0" collapsed="false">
      <c r="A17" s="23" t="s">
        <v>53</v>
      </c>
      <c r="B17" s="38" t="str">
        <f aca="false">IFERROR(INDEX(Teams!$B$5:$B$20,MATCH("Black &amp; Decker-6",Teams!$N$5:$N$20,0)),"— empty —")</f>
        <v>Toe</v>
      </c>
      <c r="C17" s="10" t="n">
        <f aca="false" t="array" ref="C17:C17">IFERROR(INDEX('Players &amp; Hdcp'!$D$5:$D$20,MATCH(B17,'Players &amp; Hdcp'!$A$5:$A$20,0)),"")</f>
        <v>21</v>
      </c>
      <c r="D17" s="39"/>
      <c r="E17" s="10" t="str">
        <f aca="false">IF(D17="","",D17-C17)</f>
        <v/>
      </c>
      <c r="F17" s="11" t="str">
        <f aca="false">IF(E17="","",IF(AND(E17=MAX($E$12:$E$18),ROW()=MATCH(MAX($E$12:$E$18),$E$12:$E$18,0)+12-1),"DROPPED","counts"))</f>
        <v/>
      </c>
    </row>
    <row r="18" customFormat="false" ht="15" hidden="false" customHeight="true" outlineLevel="0" collapsed="false">
      <c r="A18" s="23" t="s">
        <v>53</v>
      </c>
      <c r="B18" s="38" t="str">
        <f aca="false">IFERROR(INDEX(Scramble!$B$5:$B$6,MATCH("Black &amp; Decker",Scramble!$F$5:$F$6,0)),"— empty —")</f>
        <v>B&amp;D Scramble</v>
      </c>
      <c r="C18" s="10" t="n">
        <f aca="false">IFERROR(INDEX(Scramble!$G$5:$G$6,MATCH(B18,Scramble!$B$5:$B$6,0)),"")</f>
        <v>12</v>
      </c>
      <c r="D18" s="39"/>
      <c r="E18" s="10" t="str">
        <f aca="false">IF(D18="","",D18-C18)</f>
        <v/>
      </c>
      <c r="F18" s="11" t="str">
        <f aca="false">IF(E18="","",IF(AND(E18=MAX($E$12:$E$18),ROW()=MATCH(MAX($E$12:$E$18),$E$12:$E$18,0)+12-1),"DROPPED","counts"))</f>
        <v/>
      </c>
    </row>
    <row r="20" customFormat="false" ht="15" hidden="false" customHeight="true" outlineLevel="0" collapsed="false">
      <c r="A20" s="3" t="s">
        <v>184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F5:F11">
    <cfRule type="cellIs" priority="2" operator="equal" aboveAverage="0" equalAverage="0" bottom="0" percent="0" rank="0" text="" dxfId="0">
      <formula>"DROPPED"</formula>
    </cfRule>
  </conditionalFormatting>
  <conditionalFormatting sqref="F12:F18">
    <cfRule type="cellIs" priority="3" operator="equal" aboveAverage="0" equalAverage="0" bottom="0" percent="0" rank="0" text="" dxfId="0">
      <formula>"DROPPED"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2026-08-19T20:29:36Z</dcterms:created>
  <dc:creator>openpyxl</dc:creator>
  <dc:description/>
  <dc:language>en-US</dc:language>
  <cp:lastModifiedBy/>
  <dcterms:modified xsi:type="dcterms:W3CDTF">2026-08-19T21:42:12Z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